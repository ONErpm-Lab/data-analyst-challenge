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ic\OneDrive\Área de Trabalho\Teste ONERPM\"/>
    </mc:Choice>
  </mc:AlternateContent>
  <xr:revisionPtr revIDLastSave="0" documentId="8_{3178387F-79C2-46D6-9210-DE70215513CD}" xr6:coauthVersionLast="47" xr6:coauthVersionMax="47" xr10:uidLastSave="{00000000-0000-0000-0000-000000000000}"/>
  <bookViews>
    <workbookView xWindow="-120" yWindow="-120" windowWidth="29040" windowHeight="15720" xr2:uid="{AF7F3381-D078-40F7-9B42-3EAEE7F18D9F}"/>
  </bookViews>
  <sheets>
    <sheet name="EVOLUÇÃO MENSAL" sheetId="3" r:id="rId1"/>
    <sheet name="EVOLUÇÃO ANUAL" sheetId="4" r:id="rId2"/>
    <sheet name="DADOS" sheetId="1" r:id="rId3"/>
  </sheets>
  <calcPr calcId="191029"/>
  <pivotCaches>
    <pivotCache cacheId="3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4" l="1"/>
  <c r="G7" i="4"/>
  <c r="B52" i="3"/>
  <c r="B40" i="3"/>
  <c r="B42" i="3"/>
  <c r="B43" i="3"/>
  <c r="B44" i="3"/>
  <c r="B45" i="3"/>
  <c r="B46" i="3"/>
  <c r="B47" i="3"/>
  <c r="B48" i="3"/>
  <c r="B49" i="3"/>
  <c r="B50" i="3"/>
  <c r="B41" i="3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" i="1"/>
  <c r="G8" i="4"/>
</calcChain>
</file>

<file path=xl/sharedStrings.xml><?xml version="1.0" encoding="utf-8"?>
<sst xmlns="http://schemas.openxmlformats.org/spreadsheetml/2006/main" count="1076" uniqueCount="27">
  <si>
    <t>Date</t>
  </si>
  <si>
    <t>Region</t>
  </si>
  <si>
    <t/>
  </si>
  <si>
    <t>Africa</t>
  </si>
  <si>
    <t>Antarctica</t>
  </si>
  <si>
    <t>Asia</t>
  </si>
  <si>
    <t>Europe</t>
  </si>
  <si>
    <t>North America</t>
  </si>
  <si>
    <t>Oceania</t>
  </si>
  <si>
    <t>South America</t>
  </si>
  <si>
    <t>Rótulos de Coluna</t>
  </si>
  <si>
    <t>Total Geral</t>
  </si>
  <si>
    <t>selected_easure_display</t>
  </si>
  <si>
    <t>Soma de selected_easure_display</t>
  </si>
  <si>
    <t>Rótulos de Linha</t>
  </si>
  <si>
    <t>Revenue</t>
  </si>
  <si>
    <t>Year</t>
  </si>
  <si>
    <t>Valores</t>
  </si>
  <si>
    <t>(Tudo)</t>
  </si>
  <si>
    <t>Socials</t>
  </si>
  <si>
    <t>Streaming</t>
  </si>
  <si>
    <t>consuption_type</t>
  </si>
  <si>
    <t>Total</t>
  </si>
  <si>
    <t>2022</t>
  </si>
  <si>
    <t>2023</t>
  </si>
  <si>
    <t>2024</t>
  </si>
  <si>
    <t>Previsão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</si>
</sst>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73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0" fillId="0" borderId="0" xfId="0" pivotButton="1"/>
    <xf numFmtId="165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14" fontId="0" fillId="0" borderId="0" xfId="0" applyNumberFormat="1" applyAlignment="1">
      <alignment horizontal="left"/>
    </xf>
    <xf numFmtId="10" fontId="0" fillId="0" borderId="0" xfId="0" applyNumberFormat="1"/>
    <xf numFmtId="0" fontId="3" fillId="0" borderId="0" xfId="0" applyFont="1" applyAlignment="1">
      <alignment vertical="center"/>
    </xf>
    <xf numFmtId="165" fontId="3" fillId="0" borderId="0" xfId="1" applyNumberFormat="1" applyFont="1" applyAlignment="1">
      <alignment vertical="center"/>
    </xf>
    <xf numFmtId="1" fontId="0" fillId="0" borderId="0" xfId="0" applyNumberFormat="1"/>
    <xf numFmtId="173" fontId="0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14">
    <dxf>
      <numFmt numFmtId="165" formatCode="_-* #,##0_-;\-* #,##0_-;_-* &quot;-&quot;??_-;_-@_-"/>
    </dxf>
    <dxf>
      <numFmt numFmtId="165" formatCode="_-* #,##0_-;\-* #,##0_-;_-* &quot;-&quot;??_-;_-@_-"/>
    </dxf>
    <dxf>
      <numFmt numFmtId="14" formatCode="0.00%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4" formatCode="0.00%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4" formatCode="0.00%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4" formatCode="0.00%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Calculo da projeção.xlsx]EVOLUÇÃO MENSAL!Tabela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America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'EVOLUÇÃO MENSAL'!$B$4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10A-4F4A-AEC2-5BB1DF6CADCC}"/>
                </c:ext>
              </c:extLst>
            </c:dLbl>
            <c:dLbl>
              <c:idx val="3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10A-4F4A-AEC2-5BB1DF6CAD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12"/>
            <c:dispRSqr val="0"/>
            <c:dispEq val="1"/>
            <c:trendlineLbl>
              <c:layout>
                <c:manualLayout>
                  <c:x val="6.7342364342347285E-4"/>
                  <c:y val="-5.92650085791390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strRef>
              <c:f>'EVOLUÇÃO MENSAL'!$A$5:$A$38</c:f>
              <c:strCache>
                <c:ptCount val="33"/>
                <c:pt idx="0">
                  <c:v>01/01/2022</c:v>
                </c:pt>
                <c:pt idx="1">
                  <c:v>01/02/2022</c:v>
                </c:pt>
                <c:pt idx="2">
                  <c:v>01/03/2022</c:v>
                </c:pt>
                <c:pt idx="3">
                  <c:v>01/04/2022</c:v>
                </c:pt>
                <c:pt idx="4">
                  <c:v>01/05/2022</c:v>
                </c:pt>
                <c:pt idx="5">
                  <c:v>01/06/2022</c:v>
                </c:pt>
                <c:pt idx="6">
                  <c:v>01/07/2022</c:v>
                </c:pt>
                <c:pt idx="7">
                  <c:v>01/08/2022</c:v>
                </c:pt>
                <c:pt idx="8">
                  <c:v>01/09/2022</c:v>
                </c:pt>
                <c:pt idx="9">
                  <c:v>01/10/2022</c:v>
                </c:pt>
                <c:pt idx="10">
                  <c:v>01/11/2022</c:v>
                </c:pt>
                <c:pt idx="11">
                  <c:v>01/01/2023</c:v>
                </c:pt>
                <c:pt idx="12">
                  <c:v>01/02/2023</c:v>
                </c:pt>
                <c:pt idx="13">
                  <c:v>01/03/2023</c:v>
                </c:pt>
                <c:pt idx="14">
                  <c:v>01/04/2023</c:v>
                </c:pt>
                <c:pt idx="15">
                  <c:v>01/05/2023</c:v>
                </c:pt>
                <c:pt idx="16">
                  <c:v>01/06/2023</c:v>
                </c:pt>
                <c:pt idx="17">
                  <c:v>01/07/2023</c:v>
                </c:pt>
                <c:pt idx="18">
                  <c:v>01/08/2023</c:v>
                </c:pt>
                <c:pt idx="19">
                  <c:v>01/09/2023</c:v>
                </c:pt>
                <c:pt idx="20">
                  <c:v>01/10/2023</c:v>
                </c:pt>
                <c:pt idx="21">
                  <c:v>01/11/2023</c:v>
                </c:pt>
                <c:pt idx="22">
                  <c:v>01/01/2024</c:v>
                </c:pt>
                <c:pt idx="23">
                  <c:v>01/02/2024</c:v>
                </c:pt>
                <c:pt idx="24">
                  <c:v>01/03/2024</c:v>
                </c:pt>
                <c:pt idx="25">
                  <c:v>01/04/2024</c:v>
                </c:pt>
                <c:pt idx="26">
                  <c:v>01/05/2024</c:v>
                </c:pt>
                <c:pt idx="27">
                  <c:v>01/06/2024</c:v>
                </c:pt>
                <c:pt idx="28">
                  <c:v>01/07/2024</c:v>
                </c:pt>
                <c:pt idx="29">
                  <c:v>01/08/2024</c:v>
                </c:pt>
                <c:pt idx="30">
                  <c:v>01/09/2024</c:v>
                </c:pt>
                <c:pt idx="31">
                  <c:v>01/10/2024</c:v>
                </c:pt>
                <c:pt idx="32">
                  <c:v>01/11/2024</c:v>
                </c:pt>
              </c:strCache>
            </c:strRef>
          </c:cat>
          <c:val>
            <c:numRef>
              <c:f>'EVOLUÇÃO MENSAL'!$B$5:$B$38</c:f>
              <c:numCache>
                <c:formatCode>_-* #,##0_-;\-* #,##0_-;_-* "-"??_-;_-@_-</c:formatCode>
                <c:ptCount val="33"/>
                <c:pt idx="0">
                  <c:v>1656368.2</c:v>
                </c:pt>
                <c:pt idx="1">
                  <c:v>1696731.7</c:v>
                </c:pt>
                <c:pt idx="2">
                  <c:v>2077152</c:v>
                </c:pt>
                <c:pt idx="3">
                  <c:v>2043950.7</c:v>
                </c:pt>
                <c:pt idx="4">
                  <c:v>2062883.3</c:v>
                </c:pt>
                <c:pt idx="5">
                  <c:v>2014409.1</c:v>
                </c:pt>
                <c:pt idx="6">
                  <c:v>1960753.1</c:v>
                </c:pt>
                <c:pt idx="7">
                  <c:v>2149961.5</c:v>
                </c:pt>
                <c:pt idx="8">
                  <c:v>2222820</c:v>
                </c:pt>
                <c:pt idx="9">
                  <c:v>2248606.4</c:v>
                </c:pt>
                <c:pt idx="10">
                  <c:v>2327969.1</c:v>
                </c:pt>
                <c:pt idx="11">
                  <c:v>2189935.6</c:v>
                </c:pt>
                <c:pt idx="12">
                  <c:v>2168539.7000000002</c:v>
                </c:pt>
                <c:pt idx="13">
                  <c:v>2348155.7999999998</c:v>
                </c:pt>
                <c:pt idx="14">
                  <c:v>2266595.1</c:v>
                </c:pt>
                <c:pt idx="15">
                  <c:v>2390411.9</c:v>
                </c:pt>
                <c:pt idx="16">
                  <c:v>2446155.2000000002</c:v>
                </c:pt>
                <c:pt idx="17">
                  <c:v>2479840.9</c:v>
                </c:pt>
                <c:pt idx="18">
                  <c:v>2602625.4</c:v>
                </c:pt>
                <c:pt idx="19">
                  <c:v>2588789</c:v>
                </c:pt>
                <c:pt idx="20">
                  <c:v>2689297.9</c:v>
                </c:pt>
                <c:pt idx="21">
                  <c:v>2633901.9</c:v>
                </c:pt>
                <c:pt idx="22">
                  <c:v>2493120.1</c:v>
                </c:pt>
                <c:pt idx="23">
                  <c:v>2454066.5</c:v>
                </c:pt>
                <c:pt idx="24">
                  <c:v>2732085.9</c:v>
                </c:pt>
                <c:pt idx="25">
                  <c:v>2510958.2999999998</c:v>
                </c:pt>
                <c:pt idx="26">
                  <c:v>2594810.2000000002</c:v>
                </c:pt>
                <c:pt idx="27">
                  <c:v>2544050.1</c:v>
                </c:pt>
                <c:pt idx="28">
                  <c:v>2349976</c:v>
                </c:pt>
                <c:pt idx="29">
                  <c:v>2306408.5</c:v>
                </c:pt>
                <c:pt idx="30">
                  <c:v>2320970.2000000002</c:v>
                </c:pt>
                <c:pt idx="31">
                  <c:v>2279071.1</c:v>
                </c:pt>
                <c:pt idx="32">
                  <c:v>2256005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A-4F4A-AEC2-5BB1DF6CADC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410704"/>
        <c:axId val="2079408208"/>
      </c:lineChart>
      <c:catAx>
        <c:axId val="20794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9408208"/>
        <c:crosses val="autoZero"/>
        <c:auto val="1"/>
        <c:lblAlgn val="ctr"/>
        <c:lblOffset val="100"/>
        <c:noMultiLvlLbl val="0"/>
      </c:catAx>
      <c:valAx>
        <c:axId val="20794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941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Calculo da projeção.xlsx]EVOLUÇÃO ANUAL!Tabela dinâmica1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America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'EVOLUÇÃO ANUAL'!$B$5:$B$6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'EVOLUÇÃO ANUAL'!$A$7:$A$8</c:f>
              <c:strCache>
                <c:ptCount val="2"/>
                <c:pt idx="0">
                  <c:v>Revenue</c:v>
                </c:pt>
                <c:pt idx="1">
                  <c:v>Soma de selected_easure_display</c:v>
                </c:pt>
              </c:strCache>
            </c:strRef>
          </c:cat>
          <c:val>
            <c:numRef>
              <c:f>'EVOLUÇÃO ANUAL'!$B$7:$B$8</c:f>
              <c:numCache>
                <c:formatCode>General</c:formatCode>
                <c:ptCount val="2"/>
                <c:pt idx="0">
                  <c:v>22461605.099999998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2-4AAA-A7BD-0E51E0D0923C}"/>
            </c:ext>
          </c:extLst>
        </c:ser>
        <c:ser>
          <c:idx val="1"/>
          <c:order val="1"/>
          <c:tx>
            <c:strRef>
              <c:f>'EVOLUÇÃO ANUAL'!$C$5:$C$6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'EVOLUÇÃO ANUAL'!$A$7:$A$8</c:f>
              <c:strCache>
                <c:ptCount val="2"/>
                <c:pt idx="0">
                  <c:v>Revenue</c:v>
                </c:pt>
                <c:pt idx="1">
                  <c:v>Soma de selected_easure_display</c:v>
                </c:pt>
              </c:strCache>
            </c:strRef>
          </c:cat>
          <c:val>
            <c:numRef>
              <c:f>'EVOLUÇÃO ANUAL'!$C$7:$C$8</c:f>
              <c:numCache>
                <c:formatCode>General</c:formatCode>
                <c:ptCount val="2"/>
                <c:pt idx="0">
                  <c:v>26804248.400000002</c:v>
                </c:pt>
                <c:pt idx="1">
                  <c:v>0.19333628566019109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2-4AAA-A7BD-0E51E0D0923C}"/>
            </c:ext>
          </c:extLst>
        </c:ser>
        <c:ser>
          <c:idx val="2"/>
          <c:order val="2"/>
          <c:tx>
            <c:strRef>
              <c:f>'EVOLUÇÃO ANUAL'!$D$5:$D$6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'EVOLUÇÃO ANUAL'!$A$7:$A$8</c:f>
              <c:strCache>
                <c:ptCount val="2"/>
                <c:pt idx="0">
                  <c:v>Revenue</c:v>
                </c:pt>
                <c:pt idx="1">
                  <c:v>Soma de selected_easure_display</c:v>
                </c:pt>
              </c:strCache>
            </c:strRef>
          </c:cat>
          <c:val>
            <c:numRef>
              <c:f>'EVOLUÇÃO ANUAL'!$D$7:$D$8</c:f>
              <c:numCache>
                <c:formatCode>General</c:formatCode>
                <c:ptCount val="2"/>
                <c:pt idx="0">
                  <c:v>26841521.900000002</c:v>
                </c:pt>
                <c:pt idx="1">
                  <c:v>1.390581800458169E-3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A2-4AAA-A7BD-0E51E0D09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410704"/>
        <c:axId val="2079408208"/>
      </c:lineChart>
      <c:catAx>
        <c:axId val="20794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9408208"/>
        <c:crosses val="autoZero"/>
        <c:auto val="1"/>
        <c:lblAlgn val="ctr"/>
        <c:lblOffset val="100"/>
        <c:noMultiLvlLbl val="0"/>
      </c:catAx>
      <c:valAx>
        <c:axId val="20794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941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</a:t>
            </a:r>
            <a:r>
              <a:rPr lang="pt-BR" baseline="0"/>
              <a:t> ANUAL (em milhões de dólares)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'EVOLUÇÃO ANUAL'!$B$11:$E$11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D-427F-87FE-4F1CAEFBF9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trellis">
                <a:fgClr>
                  <a:schemeClr val="accent2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D-427F-87FE-4F1CAEFBF938}"/>
              </c:ext>
            </c:extLst>
          </c:dPt>
          <c:dLbls>
            <c:dLbl>
              <c:idx val="0"/>
              <c:layout>
                <c:manualLayout>
                  <c:x val="0"/>
                  <c:y val="-0.277649460484106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AD-427F-87FE-4F1CAEFBF938}"/>
                </c:ext>
              </c:extLst>
            </c:dLbl>
            <c:dLbl>
              <c:idx val="1"/>
              <c:layout>
                <c:manualLayout>
                  <c:x val="0"/>
                  <c:y val="-0.313112423447069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AD-427F-87FE-4F1CAEFBF938}"/>
                </c:ext>
              </c:extLst>
            </c:dLbl>
            <c:dLbl>
              <c:idx val="2"/>
              <c:layout>
                <c:manualLayout>
                  <c:x val="-1.0185067526415994E-16"/>
                  <c:y val="-0.299607392825896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AD-427F-87FE-4F1CAEFBF938}"/>
                </c:ext>
              </c:extLst>
            </c:dLbl>
            <c:dLbl>
              <c:idx val="3"/>
              <c:layout>
                <c:manualLayout>
                  <c:x val="0"/>
                  <c:y val="-0.347947287839020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AD-427F-87FE-4F1CAEFBF93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'EVOLUÇÃO ANUAL'!$B$12:$E$12</c:f>
              <c:numCache>
                <c:formatCode>_-* #,##0_-;\-* #,##0_-;_-* "-"??_-;_-@_-</c:formatCode>
                <c:ptCount val="4"/>
                <c:pt idx="0">
                  <c:v>22461605.099999998</c:v>
                </c:pt>
                <c:pt idx="1">
                  <c:v>26804248.400000002</c:v>
                </c:pt>
                <c:pt idx="2">
                  <c:v>26841521.900000002</c:v>
                </c:pt>
                <c:pt idx="3" formatCode="0">
                  <c:v>29737254.400697846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D-427F-87FE-4F1CAEFBF9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1194912"/>
        <c:axId val="501195328"/>
      </c:barChart>
      <c:catAx>
        <c:axId val="501194912"/>
        <c:scaling>
          <c:orientation val="minMax"/>
        </c:scaling>
        <c:delete val="1"/>
        <c:axPos val="b"/>
        <c:majorTickMark val="none"/>
        <c:minorTickMark val="none"/>
        <c:tickLblPos val="nextTo"/>
        <c:crossAx val="501195328"/>
        <c:crosses val="autoZero"/>
        <c:auto val="1"/>
        <c:lblAlgn val="ctr"/>
        <c:lblOffset val="100"/>
        <c:noMultiLvlLbl val="0"/>
      </c:catAx>
      <c:valAx>
        <c:axId val="501195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119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304799</xdr:colOff>
      <xdr:row>9</xdr:row>
      <xdr:rowOff>42861</xdr:rowOff>
    </xdr:from>
    <xdr:to>
      <xdr:col>12</xdr:col>
      <xdr:colOff>657224</xdr:colOff>
      <xdr:row>26</xdr:row>
      <xdr:rowOff>161924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D91380-CABA-4C4C-B342-B384388CF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676274</xdr:colOff>
      <xdr:row>11</xdr:row>
      <xdr:rowOff>128586</xdr:rowOff>
    </xdr:from>
    <xdr:to>
      <xdr:col>32</xdr:col>
      <xdr:colOff>66674</xdr:colOff>
      <xdr:row>29</xdr:row>
      <xdr:rowOff>57149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661DC8-7661-4285-BC8E-ADD93FEBF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</xdr:colOff>
      <xdr:row>12</xdr:row>
      <xdr:rowOff>128586</xdr:rowOff>
    </xdr:from>
    <xdr:to>
      <xdr:col>9</xdr:col>
      <xdr:colOff>666750</xdr:colOff>
      <xdr:row>30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D8CC48-9F85-4ECC-9EA6-1584CC61A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tic" refreshedDate="46211.606196875" createdVersion="7" refreshedVersion="7" minRefreshableVersion="3" recordCount="525" xr:uid="{E568A71A-E169-4DC7-ACB3-4948A6D6C7B5}">
  <cacheSource type="worksheet">
    <worksheetSource ref="A1:E1048576" sheet="DADOS"/>
  </cacheSource>
  <cacheFields count="5">
    <cacheField name="Date" numFmtId="14">
      <sharedItems containsNonDate="0" containsDate="1" containsString="0" containsBlank="1" minDate="2022-01-01T00:00:00" maxDate="2024-11-02T00:00:00" count="34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m/>
      </sharedItems>
    </cacheField>
    <cacheField name="selected_easure_display" numFmtId="165">
      <sharedItems containsString="0" containsBlank="1" containsNumber="1" minValue="0" maxValue="2732085.9"/>
    </cacheField>
    <cacheField name="Region" numFmtId="0">
      <sharedItems containsBlank="1" count="11">
        <s v=""/>
        <s v="Africa"/>
        <s v="Antarctica"/>
        <s v="Asia"/>
        <s v="Europe"/>
        <s v="North America"/>
        <s v="Oceania"/>
        <s v="South America"/>
        <m/>
        <s v="North Aerica" u="1"/>
        <s v="South Aerica" u="1"/>
      </sharedItems>
    </cacheField>
    <cacheField name="consuption_type" numFmtId="0">
      <sharedItems containsBlank="1" count="3">
        <s v="Socials"/>
        <s v="Streaming"/>
        <m/>
      </sharedItems>
    </cacheField>
    <cacheField name="Year" numFmtId="0">
      <sharedItems containsString="0" containsBlank="1" containsNumber="1" containsInteger="1" minValue="2022" maxValue="2024" count="4">
        <n v="2022"/>
        <n v="2023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x v="0"/>
    <n v="31352.1"/>
    <x v="0"/>
    <x v="0"/>
    <x v="0"/>
  </r>
  <r>
    <x v="0"/>
    <n v="8"/>
    <x v="0"/>
    <x v="1"/>
    <x v="0"/>
  </r>
  <r>
    <x v="0"/>
    <n v="5976.9"/>
    <x v="1"/>
    <x v="0"/>
    <x v="0"/>
  </r>
  <r>
    <x v="0"/>
    <n v="5672.8"/>
    <x v="1"/>
    <x v="1"/>
    <x v="0"/>
  </r>
  <r>
    <x v="0"/>
    <n v="0"/>
    <x v="2"/>
    <x v="0"/>
    <x v="0"/>
  </r>
  <r>
    <x v="0"/>
    <n v="0"/>
    <x v="2"/>
    <x v="1"/>
    <x v="0"/>
  </r>
  <r>
    <x v="0"/>
    <n v="10045.700000000001"/>
    <x v="3"/>
    <x v="0"/>
    <x v="0"/>
  </r>
  <r>
    <x v="0"/>
    <n v="38629.9"/>
    <x v="3"/>
    <x v="1"/>
    <x v="0"/>
  </r>
  <r>
    <x v="0"/>
    <n v="32801.699999999997"/>
    <x v="4"/>
    <x v="0"/>
    <x v="0"/>
  </r>
  <r>
    <x v="0"/>
    <n v="410280.2"/>
    <x v="4"/>
    <x v="1"/>
    <x v="0"/>
  </r>
  <r>
    <x v="0"/>
    <n v="237276.4"/>
    <x v="5"/>
    <x v="0"/>
    <x v="0"/>
  </r>
  <r>
    <x v="0"/>
    <n v="1203956.7"/>
    <x v="5"/>
    <x v="1"/>
    <x v="0"/>
  </r>
  <r>
    <x v="0"/>
    <n v="907"/>
    <x v="6"/>
    <x v="0"/>
    <x v="0"/>
  </r>
  <r>
    <x v="0"/>
    <n v="35189.1"/>
    <x v="6"/>
    <x v="1"/>
    <x v="0"/>
  </r>
  <r>
    <x v="0"/>
    <n v="326685.2"/>
    <x v="7"/>
    <x v="0"/>
    <x v="0"/>
  </r>
  <r>
    <x v="0"/>
    <n v="1656368.2"/>
    <x v="7"/>
    <x v="1"/>
    <x v="0"/>
  </r>
  <r>
    <x v="1"/>
    <n v="38377.300000000003"/>
    <x v="0"/>
    <x v="0"/>
    <x v="0"/>
  </r>
  <r>
    <x v="1"/>
    <n v="8"/>
    <x v="0"/>
    <x v="1"/>
    <x v="0"/>
  </r>
  <r>
    <x v="1"/>
    <n v="5245.6"/>
    <x v="1"/>
    <x v="0"/>
    <x v="0"/>
  </r>
  <r>
    <x v="1"/>
    <n v="5905"/>
    <x v="1"/>
    <x v="1"/>
    <x v="0"/>
  </r>
  <r>
    <x v="1"/>
    <n v="0"/>
    <x v="2"/>
    <x v="0"/>
    <x v="0"/>
  </r>
  <r>
    <x v="1"/>
    <n v="0"/>
    <x v="2"/>
    <x v="1"/>
    <x v="0"/>
  </r>
  <r>
    <x v="1"/>
    <n v="16902.099999999999"/>
    <x v="3"/>
    <x v="0"/>
    <x v="0"/>
  </r>
  <r>
    <x v="1"/>
    <n v="38203.9"/>
    <x v="3"/>
    <x v="1"/>
    <x v="0"/>
  </r>
  <r>
    <x v="1"/>
    <n v="33473.699999999997"/>
    <x v="4"/>
    <x v="0"/>
    <x v="0"/>
  </r>
  <r>
    <x v="1"/>
    <n v="411422.2"/>
    <x v="4"/>
    <x v="1"/>
    <x v="0"/>
  </r>
  <r>
    <x v="1"/>
    <n v="232830.3"/>
    <x v="5"/>
    <x v="0"/>
    <x v="0"/>
  </r>
  <r>
    <x v="1"/>
    <n v="1211287.7"/>
    <x v="5"/>
    <x v="1"/>
    <x v="0"/>
  </r>
  <r>
    <x v="1"/>
    <n v="814.5"/>
    <x v="6"/>
    <x v="0"/>
    <x v="0"/>
  </r>
  <r>
    <x v="1"/>
    <n v="32920.699999999997"/>
    <x v="6"/>
    <x v="1"/>
    <x v="0"/>
  </r>
  <r>
    <x v="1"/>
    <n v="329656.7"/>
    <x v="7"/>
    <x v="0"/>
    <x v="0"/>
  </r>
  <r>
    <x v="1"/>
    <n v="1696731.7"/>
    <x v="7"/>
    <x v="1"/>
    <x v="0"/>
  </r>
  <r>
    <x v="2"/>
    <n v="56304.3"/>
    <x v="0"/>
    <x v="0"/>
    <x v="0"/>
  </r>
  <r>
    <x v="2"/>
    <n v="9.4"/>
    <x v="0"/>
    <x v="1"/>
    <x v="0"/>
  </r>
  <r>
    <x v="2"/>
    <n v="5867.6"/>
    <x v="1"/>
    <x v="0"/>
    <x v="0"/>
  </r>
  <r>
    <x v="2"/>
    <n v="6744.5"/>
    <x v="1"/>
    <x v="1"/>
    <x v="0"/>
  </r>
  <r>
    <x v="2"/>
    <n v="0"/>
    <x v="2"/>
    <x v="0"/>
    <x v="0"/>
  </r>
  <r>
    <x v="2"/>
    <n v="0"/>
    <x v="2"/>
    <x v="1"/>
    <x v="0"/>
  </r>
  <r>
    <x v="2"/>
    <n v="13325.2"/>
    <x v="3"/>
    <x v="0"/>
    <x v="0"/>
  </r>
  <r>
    <x v="2"/>
    <n v="42331.5"/>
    <x v="3"/>
    <x v="1"/>
    <x v="0"/>
  </r>
  <r>
    <x v="2"/>
    <n v="32398.1"/>
    <x v="4"/>
    <x v="0"/>
    <x v="0"/>
  </r>
  <r>
    <x v="2"/>
    <n v="465709.7"/>
    <x v="4"/>
    <x v="1"/>
    <x v="0"/>
  </r>
  <r>
    <x v="2"/>
    <n v="223763.5"/>
    <x v="5"/>
    <x v="0"/>
    <x v="0"/>
  </r>
  <r>
    <x v="2"/>
    <n v="1402208.3"/>
    <x v="5"/>
    <x v="1"/>
    <x v="0"/>
  </r>
  <r>
    <x v="2"/>
    <n v="858.5"/>
    <x v="6"/>
    <x v="0"/>
    <x v="0"/>
  </r>
  <r>
    <x v="2"/>
    <n v="40758"/>
    <x v="6"/>
    <x v="1"/>
    <x v="0"/>
  </r>
  <r>
    <x v="2"/>
    <n v="345585.6"/>
    <x v="7"/>
    <x v="0"/>
    <x v="0"/>
  </r>
  <r>
    <x v="2"/>
    <n v="2077152"/>
    <x v="7"/>
    <x v="1"/>
    <x v="0"/>
  </r>
  <r>
    <x v="3"/>
    <n v="41862.699999999997"/>
    <x v="0"/>
    <x v="0"/>
    <x v="0"/>
  </r>
  <r>
    <x v="3"/>
    <n v="10.7"/>
    <x v="0"/>
    <x v="1"/>
    <x v="0"/>
  </r>
  <r>
    <x v="3"/>
    <n v="6996"/>
    <x v="1"/>
    <x v="0"/>
    <x v="0"/>
  </r>
  <r>
    <x v="3"/>
    <n v="6936.6"/>
    <x v="1"/>
    <x v="1"/>
    <x v="0"/>
  </r>
  <r>
    <x v="3"/>
    <n v="0"/>
    <x v="2"/>
    <x v="0"/>
    <x v="0"/>
  </r>
  <r>
    <x v="3"/>
    <n v="0"/>
    <x v="2"/>
    <x v="1"/>
    <x v="0"/>
  </r>
  <r>
    <x v="3"/>
    <n v="20478"/>
    <x v="3"/>
    <x v="0"/>
    <x v="0"/>
  </r>
  <r>
    <x v="3"/>
    <n v="44441.9"/>
    <x v="3"/>
    <x v="1"/>
    <x v="0"/>
  </r>
  <r>
    <x v="3"/>
    <n v="39936.5"/>
    <x v="4"/>
    <x v="0"/>
    <x v="0"/>
  </r>
  <r>
    <x v="3"/>
    <n v="465354.4"/>
    <x v="4"/>
    <x v="1"/>
    <x v="0"/>
  </r>
  <r>
    <x v="3"/>
    <n v="170685.4"/>
    <x v="5"/>
    <x v="0"/>
    <x v="0"/>
  </r>
  <r>
    <x v="3"/>
    <n v="1400785.6"/>
    <x v="5"/>
    <x v="1"/>
    <x v="0"/>
  </r>
  <r>
    <x v="3"/>
    <n v="1333.1"/>
    <x v="6"/>
    <x v="0"/>
    <x v="0"/>
  </r>
  <r>
    <x v="3"/>
    <n v="40089.5"/>
    <x v="6"/>
    <x v="1"/>
    <x v="0"/>
  </r>
  <r>
    <x v="3"/>
    <n v="372333"/>
    <x v="7"/>
    <x v="0"/>
    <x v="0"/>
  </r>
  <r>
    <x v="3"/>
    <n v="2043950.7"/>
    <x v="7"/>
    <x v="1"/>
    <x v="0"/>
  </r>
  <r>
    <x v="4"/>
    <n v="48436.3"/>
    <x v="0"/>
    <x v="0"/>
    <x v="0"/>
  </r>
  <r>
    <x v="4"/>
    <n v="10.9"/>
    <x v="0"/>
    <x v="1"/>
    <x v="0"/>
  </r>
  <r>
    <x v="4"/>
    <n v="7433.7"/>
    <x v="1"/>
    <x v="0"/>
    <x v="0"/>
  </r>
  <r>
    <x v="4"/>
    <n v="7564.6"/>
    <x v="1"/>
    <x v="1"/>
    <x v="0"/>
  </r>
  <r>
    <x v="4"/>
    <n v="0"/>
    <x v="2"/>
    <x v="0"/>
    <x v="0"/>
  </r>
  <r>
    <x v="4"/>
    <n v="0"/>
    <x v="2"/>
    <x v="1"/>
    <x v="0"/>
  </r>
  <r>
    <x v="4"/>
    <n v="26712.2"/>
    <x v="3"/>
    <x v="0"/>
    <x v="0"/>
  </r>
  <r>
    <x v="4"/>
    <n v="47146.9"/>
    <x v="3"/>
    <x v="1"/>
    <x v="0"/>
  </r>
  <r>
    <x v="4"/>
    <n v="49707.6"/>
    <x v="4"/>
    <x v="0"/>
    <x v="0"/>
  </r>
  <r>
    <x v="4"/>
    <n v="498767.1"/>
    <x v="4"/>
    <x v="1"/>
    <x v="0"/>
  </r>
  <r>
    <x v="4"/>
    <n v="155346.4"/>
    <x v="5"/>
    <x v="0"/>
    <x v="0"/>
  </r>
  <r>
    <x v="4"/>
    <n v="1496917.2"/>
    <x v="5"/>
    <x v="1"/>
    <x v="0"/>
  </r>
  <r>
    <x v="4"/>
    <n v="1080"/>
    <x v="6"/>
    <x v="0"/>
    <x v="0"/>
  </r>
  <r>
    <x v="4"/>
    <n v="40370.6"/>
    <x v="6"/>
    <x v="1"/>
    <x v="0"/>
  </r>
  <r>
    <x v="4"/>
    <n v="437766.2"/>
    <x v="7"/>
    <x v="0"/>
    <x v="0"/>
  </r>
  <r>
    <x v="4"/>
    <n v="2062883.3"/>
    <x v="7"/>
    <x v="1"/>
    <x v="0"/>
  </r>
  <r>
    <x v="5"/>
    <n v="44246.9"/>
    <x v="0"/>
    <x v="0"/>
    <x v="0"/>
  </r>
  <r>
    <x v="5"/>
    <n v="10.9"/>
    <x v="0"/>
    <x v="1"/>
    <x v="0"/>
  </r>
  <r>
    <x v="5"/>
    <n v="6113.9"/>
    <x v="1"/>
    <x v="0"/>
    <x v="0"/>
  </r>
  <r>
    <x v="5"/>
    <n v="7431.5"/>
    <x v="1"/>
    <x v="1"/>
    <x v="0"/>
  </r>
  <r>
    <x v="5"/>
    <n v="0"/>
    <x v="2"/>
    <x v="0"/>
    <x v="0"/>
  </r>
  <r>
    <x v="5"/>
    <n v="0"/>
    <x v="2"/>
    <x v="1"/>
    <x v="0"/>
  </r>
  <r>
    <x v="5"/>
    <n v="16994.900000000001"/>
    <x v="3"/>
    <x v="0"/>
    <x v="0"/>
  </r>
  <r>
    <x v="5"/>
    <n v="51278.400000000001"/>
    <x v="3"/>
    <x v="1"/>
    <x v="0"/>
  </r>
  <r>
    <x v="5"/>
    <n v="34846.300000000003"/>
    <x v="4"/>
    <x v="0"/>
    <x v="0"/>
  </r>
  <r>
    <x v="5"/>
    <n v="496806"/>
    <x v="4"/>
    <x v="1"/>
    <x v="0"/>
  </r>
  <r>
    <x v="5"/>
    <n v="132453.6"/>
    <x v="5"/>
    <x v="0"/>
    <x v="0"/>
  </r>
  <r>
    <x v="5"/>
    <n v="1502003.7"/>
    <x v="5"/>
    <x v="1"/>
    <x v="0"/>
  </r>
  <r>
    <x v="5"/>
    <n v="895.3"/>
    <x v="6"/>
    <x v="0"/>
    <x v="0"/>
  </r>
  <r>
    <x v="5"/>
    <n v="40168.199999999997"/>
    <x v="6"/>
    <x v="1"/>
    <x v="0"/>
  </r>
  <r>
    <x v="5"/>
    <n v="323681.2"/>
    <x v="7"/>
    <x v="0"/>
    <x v="0"/>
  </r>
  <r>
    <x v="5"/>
    <n v="2014409.1"/>
    <x v="7"/>
    <x v="1"/>
    <x v="0"/>
  </r>
  <r>
    <x v="6"/>
    <n v="56400.800000000003"/>
    <x v="0"/>
    <x v="0"/>
    <x v="0"/>
  </r>
  <r>
    <x v="6"/>
    <n v="11.8"/>
    <x v="0"/>
    <x v="1"/>
    <x v="0"/>
  </r>
  <r>
    <x v="6"/>
    <n v="6337.4"/>
    <x v="1"/>
    <x v="0"/>
    <x v="0"/>
  </r>
  <r>
    <x v="6"/>
    <n v="7260.4"/>
    <x v="1"/>
    <x v="1"/>
    <x v="0"/>
  </r>
  <r>
    <x v="6"/>
    <n v="0"/>
    <x v="2"/>
    <x v="0"/>
    <x v="0"/>
  </r>
  <r>
    <x v="6"/>
    <n v="0"/>
    <x v="2"/>
    <x v="1"/>
    <x v="0"/>
  </r>
  <r>
    <x v="6"/>
    <n v="17072.5"/>
    <x v="3"/>
    <x v="0"/>
    <x v="0"/>
  </r>
  <r>
    <x v="6"/>
    <n v="53488.5"/>
    <x v="3"/>
    <x v="1"/>
    <x v="0"/>
  </r>
  <r>
    <x v="6"/>
    <n v="34920.699999999997"/>
    <x v="4"/>
    <x v="0"/>
    <x v="0"/>
  </r>
  <r>
    <x v="6"/>
    <n v="494987.9"/>
    <x v="4"/>
    <x v="1"/>
    <x v="0"/>
  </r>
  <r>
    <x v="6"/>
    <n v="138727.70000000001"/>
    <x v="5"/>
    <x v="0"/>
    <x v="0"/>
  </r>
  <r>
    <x v="6"/>
    <n v="1487277.3"/>
    <x v="5"/>
    <x v="1"/>
    <x v="0"/>
  </r>
  <r>
    <x v="6"/>
    <n v="877.5"/>
    <x v="6"/>
    <x v="0"/>
    <x v="0"/>
  </r>
  <r>
    <x v="6"/>
    <n v="42502.5"/>
    <x v="6"/>
    <x v="1"/>
    <x v="0"/>
  </r>
  <r>
    <x v="6"/>
    <n v="325550.8"/>
    <x v="7"/>
    <x v="0"/>
    <x v="0"/>
  </r>
  <r>
    <x v="6"/>
    <n v="1960753.1"/>
    <x v="7"/>
    <x v="1"/>
    <x v="0"/>
  </r>
  <r>
    <x v="7"/>
    <n v="61686.2"/>
    <x v="0"/>
    <x v="0"/>
    <x v="0"/>
  </r>
  <r>
    <x v="7"/>
    <n v="14.4"/>
    <x v="0"/>
    <x v="1"/>
    <x v="0"/>
  </r>
  <r>
    <x v="7"/>
    <n v="7086.8"/>
    <x v="1"/>
    <x v="0"/>
    <x v="0"/>
  </r>
  <r>
    <x v="7"/>
    <n v="8327.7999999999993"/>
    <x v="1"/>
    <x v="1"/>
    <x v="0"/>
  </r>
  <r>
    <x v="7"/>
    <n v="0"/>
    <x v="2"/>
    <x v="0"/>
    <x v="0"/>
  </r>
  <r>
    <x v="7"/>
    <n v="0"/>
    <x v="2"/>
    <x v="1"/>
    <x v="0"/>
  </r>
  <r>
    <x v="7"/>
    <n v="19260.599999999999"/>
    <x v="3"/>
    <x v="0"/>
    <x v="0"/>
  </r>
  <r>
    <x v="7"/>
    <n v="59487.9"/>
    <x v="3"/>
    <x v="1"/>
    <x v="0"/>
  </r>
  <r>
    <x v="7"/>
    <n v="33966.400000000001"/>
    <x v="4"/>
    <x v="0"/>
    <x v="0"/>
  </r>
  <r>
    <x v="7"/>
    <n v="516365.4"/>
    <x v="4"/>
    <x v="1"/>
    <x v="0"/>
  </r>
  <r>
    <x v="7"/>
    <n v="137006.39999999999"/>
    <x v="5"/>
    <x v="0"/>
    <x v="0"/>
  </r>
  <r>
    <x v="7"/>
    <n v="1536583"/>
    <x v="5"/>
    <x v="1"/>
    <x v="0"/>
  </r>
  <r>
    <x v="7"/>
    <n v="909.8"/>
    <x v="6"/>
    <x v="0"/>
    <x v="0"/>
  </r>
  <r>
    <x v="7"/>
    <n v="49281.599999999999"/>
    <x v="6"/>
    <x v="1"/>
    <x v="0"/>
  </r>
  <r>
    <x v="7"/>
    <n v="323231.7"/>
    <x v="7"/>
    <x v="0"/>
    <x v="0"/>
  </r>
  <r>
    <x v="7"/>
    <n v="2149961.5"/>
    <x v="7"/>
    <x v="1"/>
    <x v="0"/>
  </r>
  <r>
    <x v="8"/>
    <n v="96039.1"/>
    <x v="0"/>
    <x v="0"/>
    <x v="0"/>
  </r>
  <r>
    <x v="8"/>
    <n v="20.3"/>
    <x v="0"/>
    <x v="1"/>
    <x v="0"/>
  </r>
  <r>
    <x v="8"/>
    <n v="7268.4"/>
    <x v="1"/>
    <x v="0"/>
    <x v="0"/>
  </r>
  <r>
    <x v="8"/>
    <n v="9541.6"/>
    <x v="1"/>
    <x v="1"/>
    <x v="0"/>
  </r>
  <r>
    <x v="8"/>
    <n v="0"/>
    <x v="2"/>
    <x v="0"/>
    <x v="0"/>
  </r>
  <r>
    <x v="8"/>
    <n v="0"/>
    <x v="2"/>
    <x v="1"/>
    <x v="0"/>
  </r>
  <r>
    <x v="8"/>
    <n v="17776.099999999999"/>
    <x v="3"/>
    <x v="0"/>
    <x v="0"/>
  </r>
  <r>
    <x v="8"/>
    <n v="60371.1"/>
    <x v="3"/>
    <x v="1"/>
    <x v="0"/>
  </r>
  <r>
    <x v="8"/>
    <n v="32562.799999999999"/>
    <x v="4"/>
    <x v="0"/>
    <x v="0"/>
  </r>
  <r>
    <x v="8"/>
    <n v="557244.19999999995"/>
    <x v="4"/>
    <x v="1"/>
    <x v="0"/>
  </r>
  <r>
    <x v="8"/>
    <n v="152053.6"/>
    <x v="5"/>
    <x v="0"/>
    <x v="0"/>
  </r>
  <r>
    <x v="8"/>
    <n v="1628763"/>
    <x v="5"/>
    <x v="1"/>
    <x v="0"/>
  </r>
  <r>
    <x v="8"/>
    <n v="930.4"/>
    <x v="6"/>
    <x v="0"/>
    <x v="0"/>
  </r>
  <r>
    <x v="8"/>
    <n v="51366.8"/>
    <x v="6"/>
    <x v="1"/>
    <x v="0"/>
  </r>
  <r>
    <x v="8"/>
    <n v="319532.40000000002"/>
    <x v="7"/>
    <x v="0"/>
    <x v="0"/>
  </r>
  <r>
    <x v="8"/>
    <n v="2222820"/>
    <x v="7"/>
    <x v="1"/>
    <x v="0"/>
  </r>
  <r>
    <x v="9"/>
    <n v="88607.8"/>
    <x v="0"/>
    <x v="0"/>
    <x v="0"/>
  </r>
  <r>
    <x v="9"/>
    <n v="19.8"/>
    <x v="0"/>
    <x v="1"/>
    <x v="0"/>
  </r>
  <r>
    <x v="9"/>
    <n v="7068.6"/>
    <x v="1"/>
    <x v="0"/>
    <x v="0"/>
  </r>
  <r>
    <x v="9"/>
    <n v="9993"/>
    <x v="1"/>
    <x v="1"/>
    <x v="0"/>
  </r>
  <r>
    <x v="9"/>
    <n v="0"/>
    <x v="2"/>
    <x v="0"/>
    <x v="0"/>
  </r>
  <r>
    <x v="9"/>
    <n v="0"/>
    <x v="2"/>
    <x v="1"/>
    <x v="0"/>
  </r>
  <r>
    <x v="9"/>
    <n v="16417.8"/>
    <x v="3"/>
    <x v="0"/>
    <x v="0"/>
  </r>
  <r>
    <x v="9"/>
    <n v="65174.2"/>
    <x v="3"/>
    <x v="1"/>
    <x v="0"/>
  </r>
  <r>
    <x v="9"/>
    <n v="30958.6"/>
    <x v="4"/>
    <x v="0"/>
    <x v="0"/>
  </r>
  <r>
    <x v="9"/>
    <n v="617064.9"/>
    <x v="4"/>
    <x v="1"/>
    <x v="0"/>
  </r>
  <r>
    <x v="9"/>
    <n v="151564.29999999999"/>
    <x v="5"/>
    <x v="0"/>
    <x v="0"/>
  </r>
  <r>
    <x v="9"/>
    <n v="1625795.4"/>
    <x v="5"/>
    <x v="1"/>
    <x v="0"/>
  </r>
  <r>
    <x v="9"/>
    <n v="928.8"/>
    <x v="6"/>
    <x v="0"/>
    <x v="0"/>
  </r>
  <r>
    <x v="9"/>
    <n v="51972.6"/>
    <x v="6"/>
    <x v="1"/>
    <x v="0"/>
  </r>
  <r>
    <x v="9"/>
    <n v="366085.4"/>
    <x v="7"/>
    <x v="0"/>
    <x v="0"/>
  </r>
  <r>
    <x v="9"/>
    <n v="2248606.4"/>
    <x v="7"/>
    <x v="1"/>
    <x v="0"/>
  </r>
  <r>
    <x v="10"/>
    <n v="98524.800000000003"/>
    <x v="0"/>
    <x v="0"/>
    <x v="0"/>
  </r>
  <r>
    <x v="10"/>
    <n v="21.6"/>
    <x v="0"/>
    <x v="1"/>
    <x v="0"/>
  </r>
  <r>
    <x v="10"/>
    <n v="8755.1"/>
    <x v="1"/>
    <x v="0"/>
    <x v="0"/>
  </r>
  <r>
    <x v="10"/>
    <n v="10497.5"/>
    <x v="1"/>
    <x v="1"/>
    <x v="0"/>
  </r>
  <r>
    <x v="10"/>
    <n v="0"/>
    <x v="2"/>
    <x v="0"/>
    <x v="0"/>
  </r>
  <r>
    <x v="10"/>
    <n v="0"/>
    <x v="2"/>
    <x v="1"/>
    <x v="0"/>
  </r>
  <r>
    <x v="10"/>
    <n v="18393.599999999999"/>
    <x v="3"/>
    <x v="0"/>
    <x v="0"/>
  </r>
  <r>
    <x v="10"/>
    <n v="77916.800000000003"/>
    <x v="3"/>
    <x v="1"/>
    <x v="0"/>
  </r>
  <r>
    <x v="10"/>
    <n v="32377.7"/>
    <x v="4"/>
    <x v="0"/>
    <x v="0"/>
  </r>
  <r>
    <x v="10"/>
    <n v="638437.69999999995"/>
    <x v="4"/>
    <x v="1"/>
    <x v="0"/>
  </r>
  <r>
    <x v="10"/>
    <n v="141319.1"/>
    <x v="5"/>
    <x v="0"/>
    <x v="0"/>
  </r>
  <r>
    <x v="10"/>
    <n v="1640112.5"/>
    <x v="5"/>
    <x v="1"/>
    <x v="0"/>
  </r>
  <r>
    <x v="10"/>
    <n v="1110.9000000000001"/>
    <x v="6"/>
    <x v="0"/>
    <x v="0"/>
  </r>
  <r>
    <x v="10"/>
    <n v="56557.8"/>
    <x v="6"/>
    <x v="1"/>
    <x v="0"/>
  </r>
  <r>
    <x v="10"/>
    <n v="368046.8"/>
    <x v="7"/>
    <x v="0"/>
    <x v="0"/>
  </r>
  <r>
    <x v="10"/>
    <n v="2327969.1"/>
    <x v="7"/>
    <x v="1"/>
    <x v="0"/>
  </r>
  <r>
    <x v="11"/>
    <n v="2814"/>
    <x v="0"/>
    <x v="0"/>
    <x v="1"/>
  </r>
  <r>
    <x v="11"/>
    <n v="51"/>
    <x v="0"/>
    <x v="1"/>
    <x v="1"/>
  </r>
  <r>
    <x v="11"/>
    <n v="10059.200000000001"/>
    <x v="1"/>
    <x v="0"/>
    <x v="1"/>
  </r>
  <r>
    <x v="11"/>
    <n v="11670.8"/>
    <x v="1"/>
    <x v="1"/>
    <x v="1"/>
  </r>
  <r>
    <x v="11"/>
    <n v="0"/>
    <x v="2"/>
    <x v="0"/>
    <x v="1"/>
  </r>
  <r>
    <x v="11"/>
    <n v="0"/>
    <x v="2"/>
    <x v="1"/>
    <x v="1"/>
  </r>
  <r>
    <x v="11"/>
    <n v="25157.8"/>
    <x v="3"/>
    <x v="0"/>
    <x v="1"/>
  </r>
  <r>
    <x v="11"/>
    <n v="78390.899999999994"/>
    <x v="3"/>
    <x v="1"/>
    <x v="1"/>
  </r>
  <r>
    <x v="11"/>
    <n v="51867.1"/>
    <x v="4"/>
    <x v="0"/>
    <x v="1"/>
  </r>
  <r>
    <x v="11"/>
    <n v="701389"/>
    <x v="4"/>
    <x v="1"/>
    <x v="1"/>
  </r>
  <r>
    <x v="11"/>
    <n v="187973.2"/>
    <x v="5"/>
    <x v="0"/>
    <x v="1"/>
  </r>
  <r>
    <x v="11"/>
    <n v="1583204.7"/>
    <x v="5"/>
    <x v="1"/>
    <x v="1"/>
  </r>
  <r>
    <x v="11"/>
    <n v="1716.2"/>
    <x v="6"/>
    <x v="0"/>
    <x v="1"/>
  </r>
  <r>
    <x v="11"/>
    <n v="62280.4"/>
    <x v="6"/>
    <x v="1"/>
    <x v="1"/>
  </r>
  <r>
    <x v="11"/>
    <n v="400087.7"/>
    <x v="7"/>
    <x v="0"/>
    <x v="1"/>
  </r>
  <r>
    <x v="11"/>
    <n v="2189935.6"/>
    <x v="7"/>
    <x v="1"/>
    <x v="1"/>
  </r>
  <r>
    <x v="12"/>
    <n v="2909.9"/>
    <x v="0"/>
    <x v="0"/>
    <x v="1"/>
  </r>
  <r>
    <x v="12"/>
    <n v="72.2"/>
    <x v="0"/>
    <x v="1"/>
    <x v="1"/>
  </r>
  <r>
    <x v="12"/>
    <n v="10927.4"/>
    <x v="1"/>
    <x v="0"/>
    <x v="1"/>
  </r>
  <r>
    <x v="12"/>
    <n v="12189.9"/>
    <x v="1"/>
    <x v="1"/>
    <x v="1"/>
  </r>
  <r>
    <x v="12"/>
    <n v="0.1"/>
    <x v="2"/>
    <x v="0"/>
    <x v="1"/>
  </r>
  <r>
    <x v="12"/>
    <n v="0"/>
    <x v="2"/>
    <x v="1"/>
    <x v="1"/>
  </r>
  <r>
    <x v="12"/>
    <n v="21659.599999999999"/>
    <x v="3"/>
    <x v="0"/>
    <x v="1"/>
  </r>
  <r>
    <x v="12"/>
    <n v="87386.2"/>
    <x v="3"/>
    <x v="1"/>
    <x v="1"/>
  </r>
  <r>
    <x v="12"/>
    <n v="50234.2"/>
    <x v="4"/>
    <x v="0"/>
    <x v="1"/>
  </r>
  <r>
    <x v="12"/>
    <n v="704533.8"/>
    <x v="4"/>
    <x v="1"/>
    <x v="1"/>
  </r>
  <r>
    <x v="12"/>
    <n v="170101.2"/>
    <x v="5"/>
    <x v="0"/>
    <x v="1"/>
  </r>
  <r>
    <x v="12"/>
    <n v="1609214.1"/>
    <x v="5"/>
    <x v="1"/>
    <x v="1"/>
  </r>
  <r>
    <x v="12"/>
    <n v="1430.5"/>
    <x v="6"/>
    <x v="0"/>
    <x v="1"/>
  </r>
  <r>
    <x v="12"/>
    <n v="62040.3"/>
    <x v="6"/>
    <x v="1"/>
    <x v="1"/>
  </r>
  <r>
    <x v="12"/>
    <n v="387691.8"/>
    <x v="7"/>
    <x v="0"/>
    <x v="1"/>
  </r>
  <r>
    <x v="12"/>
    <n v="2168539.7000000002"/>
    <x v="7"/>
    <x v="1"/>
    <x v="1"/>
  </r>
  <r>
    <x v="13"/>
    <n v="2807.7"/>
    <x v="0"/>
    <x v="0"/>
    <x v="1"/>
  </r>
  <r>
    <x v="13"/>
    <n v="92.6"/>
    <x v="0"/>
    <x v="1"/>
    <x v="1"/>
  </r>
  <r>
    <x v="13"/>
    <n v="12320.1"/>
    <x v="1"/>
    <x v="0"/>
    <x v="1"/>
  </r>
  <r>
    <x v="13"/>
    <n v="14634.7"/>
    <x v="1"/>
    <x v="1"/>
    <x v="1"/>
  </r>
  <r>
    <x v="13"/>
    <n v="0.1"/>
    <x v="2"/>
    <x v="0"/>
    <x v="1"/>
  </r>
  <r>
    <x v="13"/>
    <n v="0"/>
    <x v="2"/>
    <x v="1"/>
    <x v="1"/>
  </r>
  <r>
    <x v="13"/>
    <n v="19390.5"/>
    <x v="3"/>
    <x v="0"/>
    <x v="1"/>
  </r>
  <r>
    <x v="13"/>
    <n v="97386.6"/>
    <x v="3"/>
    <x v="1"/>
    <x v="1"/>
  </r>
  <r>
    <x v="13"/>
    <n v="49221.3"/>
    <x v="4"/>
    <x v="0"/>
    <x v="1"/>
  </r>
  <r>
    <x v="13"/>
    <n v="753711.3"/>
    <x v="4"/>
    <x v="1"/>
    <x v="1"/>
  </r>
  <r>
    <x v="13"/>
    <n v="166987.5"/>
    <x v="5"/>
    <x v="0"/>
    <x v="1"/>
  </r>
  <r>
    <x v="13"/>
    <n v="1757046.3"/>
    <x v="5"/>
    <x v="1"/>
    <x v="1"/>
  </r>
  <r>
    <x v="13"/>
    <n v="1278.5"/>
    <x v="6"/>
    <x v="0"/>
    <x v="1"/>
  </r>
  <r>
    <x v="13"/>
    <n v="63408.800000000003"/>
    <x v="6"/>
    <x v="1"/>
    <x v="1"/>
  </r>
  <r>
    <x v="13"/>
    <n v="378310.9"/>
    <x v="7"/>
    <x v="0"/>
    <x v="1"/>
  </r>
  <r>
    <x v="13"/>
    <n v="2348155.7999999998"/>
    <x v="7"/>
    <x v="1"/>
    <x v="1"/>
  </r>
  <r>
    <x v="14"/>
    <n v="2939.6"/>
    <x v="0"/>
    <x v="0"/>
    <x v="1"/>
  </r>
  <r>
    <x v="14"/>
    <n v="80.8"/>
    <x v="0"/>
    <x v="1"/>
    <x v="1"/>
  </r>
  <r>
    <x v="14"/>
    <n v="8919.6"/>
    <x v="1"/>
    <x v="0"/>
    <x v="1"/>
  </r>
  <r>
    <x v="14"/>
    <n v="13160.7"/>
    <x v="1"/>
    <x v="1"/>
    <x v="1"/>
  </r>
  <r>
    <x v="14"/>
    <n v="0"/>
    <x v="2"/>
    <x v="0"/>
    <x v="1"/>
  </r>
  <r>
    <x v="14"/>
    <n v="0"/>
    <x v="2"/>
    <x v="1"/>
    <x v="1"/>
  </r>
  <r>
    <x v="14"/>
    <n v="20317.400000000001"/>
    <x v="3"/>
    <x v="0"/>
    <x v="1"/>
  </r>
  <r>
    <x v="14"/>
    <n v="87324.2"/>
    <x v="3"/>
    <x v="1"/>
    <x v="1"/>
  </r>
  <r>
    <x v="14"/>
    <n v="48538.6"/>
    <x v="4"/>
    <x v="0"/>
    <x v="1"/>
  </r>
  <r>
    <x v="14"/>
    <n v="755301.8"/>
    <x v="4"/>
    <x v="1"/>
    <x v="1"/>
  </r>
  <r>
    <x v="14"/>
    <n v="139736.6"/>
    <x v="5"/>
    <x v="0"/>
    <x v="1"/>
  </r>
  <r>
    <x v="14"/>
    <n v="1717018.3"/>
    <x v="5"/>
    <x v="1"/>
    <x v="1"/>
  </r>
  <r>
    <x v="14"/>
    <n v="1356.6"/>
    <x v="6"/>
    <x v="0"/>
    <x v="1"/>
  </r>
  <r>
    <x v="14"/>
    <n v="62687.7"/>
    <x v="6"/>
    <x v="1"/>
    <x v="1"/>
  </r>
  <r>
    <x v="14"/>
    <n v="362569.7"/>
    <x v="7"/>
    <x v="0"/>
    <x v="1"/>
  </r>
  <r>
    <x v="14"/>
    <n v="2266595.1"/>
    <x v="7"/>
    <x v="1"/>
    <x v="1"/>
  </r>
  <r>
    <x v="15"/>
    <n v="2794.2"/>
    <x v="0"/>
    <x v="0"/>
    <x v="1"/>
  </r>
  <r>
    <x v="15"/>
    <n v="89.9"/>
    <x v="0"/>
    <x v="1"/>
    <x v="1"/>
  </r>
  <r>
    <x v="15"/>
    <n v="8550.6"/>
    <x v="1"/>
    <x v="0"/>
    <x v="1"/>
  </r>
  <r>
    <x v="15"/>
    <n v="14595.3"/>
    <x v="1"/>
    <x v="1"/>
    <x v="1"/>
  </r>
  <r>
    <x v="15"/>
    <n v="0"/>
    <x v="2"/>
    <x v="0"/>
    <x v="1"/>
  </r>
  <r>
    <x v="15"/>
    <n v="0"/>
    <x v="2"/>
    <x v="1"/>
    <x v="1"/>
  </r>
  <r>
    <x v="15"/>
    <n v="18704.5"/>
    <x v="3"/>
    <x v="0"/>
    <x v="1"/>
  </r>
  <r>
    <x v="15"/>
    <n v="90436"/>
    <x v="3"/>
    <x v="1"/>
    <x v="1"/>
  </r>
  <r>
    <x v="15"/>
    <n v="49513.4"/>
    <x v="4"/>
    <x v="0"/>
    <x v="1"/>
  </r>
  <r>
    <x v="15"/>
    <n v="837903.3"/>
    <x v="4"/>
    <x v="1"/>
    <x v="1"/>
  </r>
  <r>
    <x v="15"/>
    <n v="111047.2"/>
    <x v="5"/>
    <x v="0"/>
    <x v="1"/>
  </r>
  <r>
    <x v="15"/>
    <n v="1881126.1"/>
    <x v="5"/>
    <x v="1"/>
    <x v="1"/>
  </r>
  <r>
    <x v="15"/>
    <n v="1381.2"/>
    <x v="6"/>
    <x v="0"/>
    <x v="1"/>
  </r>
  <r>
    <x v="15"/>
    <n v="69173"/>
    <x v="6"/>
    <x v="1"/>
    <x v="1"/>
  </r>
  <r>
    <x v="15"/>
    <n v="362229.4"/>
    <x v="7"/>
    <x v="0"/>
    <x v="1"/>
  </r>
  <r>
    <x v="15"/>
    <n v="2390411.9"/>
    <x v="7"/>
    <x v="1"/>
    <x v="1"/>
  </r>
  <r>
    <x v="16"/>
    <n v="2667.4"/>
    <x v="0"/>
    <x v="0"/>
    <x v="1"/>
  </r>
  <r>
    <x v="16"/>
    <n v="69.7"/>
    <x v="0"/>
    <x v="1"/>
    <x v="1"/>
  </r>
  <r>
    <x v="16"/>
    <n v="10916.7"/>
    <x v="1"/>
    <x v="0"/>
    <x v="1"/>
  </r>
  <r>
    <x v="16"/>
    <n v="15365.4"/>
    <x v="1"/>
    <x v="1"/>
    <x v="1"/>
  </r>
  <r>
    <x v="16"/>
    <n v="0"/>
    <x v="2"/>
    <x v="0"/>
    <x v="1"/>
  </r>
  <r>
    <x v="16"/>
    <n v="0"/>
    <x v="2"/>
    <x v="1"/>
    <x v="1"/>
  </r>
  <r>
    <x v="16"/>
    <n v="17967.900000000001"/>
    <x v="3"/>
    <x v="0"/>
    <x v="1"/>
  </r>
  <r>
    <x v="16"/>
    <n v="112663.5"/>
    <x v="3"/>
    <x v="1"/>
    <x v="1"/>
  </r>
  <r>
    <x v="16"/>
    <n v="52681.599999999999"/>
    <x v="4"/>
    <x v="0"/>
    <x v="1"/>
  </r>
  <r>
    <x v="16"/>
    <n v="824867.1"/>
    <x v="4"/>
    <x v="1"/>
    <x v="1"/>
  </r>
  <r>
    <x v="16"/>
    <n v="113244.3"/>
    <x v="5"/>
    <x v="0"/>
    <x v="1"/>
  </r>
  <r>
    <x v="16"/>
    <n v="1927884.3"/>
    <x v="5"/>
    <x v="1"/>
    <x v="1"/>
  </r>
  <r>
    <x v="16"/>
    <n v="1399.7"/>
    <x v="6"/>
    <x v="0"/>
    <x v="1"/>
  </r>
  <r>
    <x v="16"/>
    <n v="67673.5"/>
    <x v="6"/>
    <x v="1"/>
    <x v="1"/>
  </r>
  <r>
    <x v="16"/>
    <n v="357331.1"/>
    <x v="7"/>
    <x v="0"/>
    <x v="1"/>
  </r>
  <r>
    <x v="16"/>
    <n v="2446155.2000000002"/>
    <x v="7"/>
    <x v="1"/>
    <x v="1"/>
  </r>
  <r>
    <x v="17"/>
    <n v="2412"/>
    <x v="0"/>
    <x v="0"/>
    <x v="1"/>
  </r>
  <r>
    <x v="17"/>
    <n v="57.6"/>
    <x v="0"/>
    <x v="1"/>
    <x v="1"/>
  </r>
  <r>
    <x v="17"/>
    <n v="9192"/>
    <x v="1"/>
    <x v="0"/>
    <x v="1"/>
  </r>
  <r>
    <x v="17"/>
    <n v="14120.7"/>
    <x v="1"/>
    <x v="1"/>
    <x v="1"/>
  </r>
  <r>
    <x v="17"/>
    <n v="0.1"/>
    <x v="2"/>
    <x v="0"/>
    <x v="1"/>
  </r>
  <r>
    <x v="17"/>
    <n v="0"/>
    <x v="2"/>
    <x v="1"/>
    <x v="1"/>
  </r>
  <r>
    <x v="17"/>
    <n v="21818.2"/>
    <x v="3"/>
    <x v="0"/>
    <x v="1"/>
  </r>
  <r>
    <x v="17"/>
    <n v="102016.2"/>
    <x v="3"/>
    <x v="1"/>
    <x v="1"/>
  </r>
  <r>
    <x v="17"/>
    <n v="51301.599999999999"/>
    <x v="4"/>
    <x v="0"/>
    <x v="1"/>
  </r>
  <r>
    <x v="17"/>
    <n v="837084.5"/>
    <x v="4"/>
    <x v="1"/>
    <x v="1"/>
  </r>
  <r>
    <x v="17"/>
    <n v="103580.2"/>
    <x v="5"/>
    <x v="0"/>
    <x v="1"/>
  </r>
  <r>
    <x v="17"/>
    <n v="1906300.6"/>
    <x v="5"/>
    <x v="1"/>
    <x v="1"/>
  </r>
  <r>
    <x v="17"/>
    <n v="1362.1"/>
    <x v="6"/>
    <x v="0"/>
    <x v="1"/>
  </r>
  <r>
    <x v="17"/>
    <n v="65397.1"/>
    <x v="6"/>
    <x v="1"/>
    <x v="1"/>
  </r>
  <r>
    <x v="17"/>
    <n v="297634.40000000002"/>
    <x v="7"/>
    <x v="0"/>
    <x v="1"/>
  </r>
  <r>
    <x v="17"/>
    <n v="2479840.9"/>
    <x v="7"/>
    <x v="1"/>
    <x v="1"/>
  </r>
  <r>
    <x v="18"/>
    <n v="2899.2"/>
    <x v="0"/>
    <x v="0"/>
    <x v="1"/>
  </r>
  <r>
    <x v="18"/>
    <n v="42.2"/>
    <x v="0"/>
    <x v="1"/>
    <x v="1"/>
  </r>
  <r>
    <x v="18"/>
    <n v="10257.700000000001"/>
    <x v="1"/>
    <x v="0"/>
    <x v="1"/>
  </r>
  <r>
    <x v="18"/>
    <n v="14381.6"/>
    <x v="1"/>
    <x v="1"/>
    <x v="1"/>
  </r>
  <r>
    <x v="18"/>
    <n v="0.1"/>
    <x v="2"/>
    <x v="0"/>
    <x v="1"/>
  </r>
  <r>
    <x v="18"/>
    <n v="0"/>
    <x v="2"/>
    <x v="1"/>
    <x v="1"/>
  </r>
  <r>
    <x v="18"/>
    <n v="22685.9"/>
    <x v="3"/>
    <x v="0"/>
    <x v="1"/>
  </r>
  <r>
    <x v="18"/>
    <n v="97379.5"/>
    <x v="3"/>
    <x v="1"/>
    <x v="1"/>
  </r>
  <r>
    <x v="18"/>
    <n v="64025.8"/>
    <x v="4"/>
    <x v="0"/>
    <x v="1"/>
  </r>
  <r>
    <x v="18"/>
    <n v="863184.8"/>
    <x v="4"/>
    <x v="1"/>
    <x v="1"/>
  </r>
  <r>
    <x v="18"/>
    <n v="123127.9"/>
    <x v="5"/>
    <x v="0"/>
    <x v="1"/>
  </r>
  <r>
    <x v="18"/>
    <n v="2022545.7"/>
    <x v="5"/>
    <x v="1"/>
    <x v="1"/>
  </r>
  <r>
    <x v="18"/>
    <n v="1710.1"/>
    <x v="6"/>
    <x v="0"/>
    <x v="1"/>
  </r>
  <r>
    <x v="18"/>
    <n v="67842.8"/>
    <x v="6"/>
    <x v="1"/>
    <x v="1"/>
  </r>
  <r>
    <x v="18"/>
    <n v="321002.8"/>
    <x v="7"/>
    <x v="0"/>
    <x v="1"/>
  </r>
  <r>
    <x v="18"/>
    <n v="2602625.4"/>
    <x v="7"/>
    <x v="1"/>
    <x v="1"/>
  </r>
  <r>
    <x v="19"/>
    <n v="3192.4"/>
    <x v="0"/>
    <x v="0"/>
    <x v="1"/>
  </r>
  <r>
    <x v="19"/>
    <n v="32.299999999999997"/>
    <x v="0"/>
    <x v="1"/>
    <x v="1"/>
  </r>
  <r>
    <x v="19"/>
    <n v="14035.8"/>
    <x v="1"/>
    <x v="0"/>
    <x v="1"/>
  </r>
  <r>
    <x v="19"/>
    <n v="16962.400000000001"/>
    <x v="1"/>
    <x v="1"/>
    <x v="1"/>
  </r>
  <r>
    <x v="19"/>
    <n v="0.1"/>
    <x v="2"/>
    <x v="0"/>
    <x v="1"/>
  </r>
  <r>
    <x v="19"/>
    <n v="0"/>
    <x v="2"/>
    <x v="1"/>
    <x v="1"/>
  </r>
  <r>
    <x v="19"/>
    <n v="21282"/>
    <x v="3"/>
    <x v="0"/>
    <x v="1"/>
  </r>
  <r>
    <x v="19"/>
    <n v="97357.3"/>
    <x v="3"/>
    <x v="1"/>
    <x v="1"/>
  </r>
  <r>
    <x v="19"/>
    <n v="64616.2"/>
    <x v="4"/>
    <x v="0"/>
    <x v="1"/>
  </r>
  <r>
    <x v="19"/>
    <n v="951562.3"/>
    <x v="4"/>
    <x v="1"/>
    <x v="1"/>
  </r>
  <r>
    <x v="19"/>
    <n v="126093.9"/>
    <x v="5"/>
    <x v="0"/>
    <x v="1"/>
  </r>
  <r>
    <x v="19"/>
    <n v="2096630.8"/>
    <x v="5"/>
    <x v="1"/>
    <x v="1"/>
  </r>
  <r>
    <x v="19"/>
    <n v="1752.1"/>
    <x v="6"/>
    <x v="0"/>
    <x v="1"/>
  </r>
  <r>
    <x v="19"/>
    <n v="71313.899999999994"/>
    <x v="6"/>
    <x v="1"/>
    <x v="1"/>
  </r>
  <r>
    <x v="19"/>
    <n v="347461.9"/>
    <x v="7"/>
    <x v="0"/>
    <x v="1"/>
  </r>
  <r>
    <x v="19"/>
    <n v="2588789"/>
    <x v="7"/>
    <x v="1"/>
    <x v="1"/>
  </r>
  <r>
    <x v="20"/>
    <n v="3010.8"/>
    <x v="0"/>
    <x v="0"/>
    <x v="1"/>
  </r>
  <r>
    <x v="20"/>
    <n v="32.299999999999997"/>
    <x v="0"/>
    <x v="1"/>
    <x v="1"/>
  </r>
  <r>
    <x v="20"/>
    <n v="14465.7"/>
    <x v="1"/>
    <x v="0"/>
    <x v="1"/>
  </r>
  <r>
    <x v="20"/>
    <n v="20162.3"/>
    <x v="1"/>
    <x v="1"/>
    <x v="1"/>
  </r>
  <r>
    <x v="20"/>
    <n v="0.1"/>
    <x v="2"/>
    <x v="0"/>
    <x v="1"/>
  </r>
  <r>
    <x v="20"/>
    <n v="0"/>
    <x v="2"/>
    <x v="1"/>
    <x v="1"/>
  </r>
  <r>
    <x v="20"/>
    <n v="21706.9"/>
    <x v="3"/>
    <x v="0"/>
    <x v="1"/>
  </r>
  <r>
    <x v="20"/>
    <n v="102776"/>
    <x v="3"/>
    <x v="1"/>
    <x v="1"/>
  </r>
  <r>
    <x v="20"/>
    <n v="69558.7"/>
    <x v="4"/>
    <x v="0"/>
    <x v="1"/>
  </r>
  <r>
    <x v="20"/>
    <n v="1017871"/>
    <x v="4"/>
    <x v="1"/>
    <x v="1"/>
  </r>
  <r>
    <x v="20"/>
    <n v="129595.5"/>
    <x v="5"/>
    <x v="0"/>
    <x v="1"/>
  </r>
  <r>
    <x v="20"/>
    <n v="2084465"/>
    <x v="5"/>
    <x v="1"/>
    <x v="1"/>
  </r>
  <r>
    <x v="20"/>
    <n v="1751.1"/>
    <x v="6"/>
    <x v="0"/>
    <x v="1"/>
  </r>
  <r>
    <x v="20"/>
    <n v="74501.5"/>
    <x v="6"/>
    <x v="1"/>
    <x v="1"/>
  </r>
  <r>
    <x v="20"/>
    <n v="350281.4"/>
    <x v="7"/>
    <x v="0"/>
    <x v="1"/>
  </r>
  <r>
    <x v="20"/>
    <n v="2689297.9"/>
    <x v="7"/>
    <x v="1"/>
    <x v="1"/>
  </r>
  <r>
    <x v="21"/>
    <n v="3094.9"/>
    <x v="0"/>
    <x v="0"/>
    <x v="1"/>
  </r>
  <r>
    <x v="21"/>
    <n v="22.9"/>
    <x v="0"/>
    <x v="1"/>
    <x v="1"/>
  </r>
  <r>
    <x v="21"/>
    <n v="13841.8"/>
    <x v="1"/>
    <x v="0"/>
    <x v="1"/>
  </r>
  <r>
    <x v="21"/>
    <n v="16857.8"/>
    <x v="1"/>
    <x v="1"/>
    <x v="1"/>
  </r>
  <r>
    <x v="21"/>
    <n v="0.1"/>
    <x v="2"/>
    <x v="0"/>
    <x v="1"/>
  </r>
  <r>
    <x v="21"/>
    <n v="0"/>
    <x v="2"/>
    <x v="1"/>
    <x v="1"/>
  </r>
  <r>
    <x v="21"/>
    <n v="20185.2"/>
    <x v="3"/>
    <x v="0"/>
    <x v="1"/>
  </r>
  <r>
    <x v="21"/>
    <n v="91437.2"/>
    <x v="3"/>
    <x v="1"/>
    <x v="1"/>
  </r>
  <r>
    <x v="21"/>
    <n v="67666.600000000006"/>
    <x v="4"/>
    <x v="0"/>
    <x v="1"/>
  </r>
  <r>
    <x v="21"/>
    <n v="930912.4"/>
    <x v="4"/>
    <x v="1"/>
    <x v="1"/>
  </r>
  <r>
    <x v="21"/>
    <n v="134538.1"/>
    <x v="5"/>
    <x v="0"/>
    <x v="1"/>
  </r>
  <r>
    <x v="21"/>
    <n v="2046244.8"/>
    <x v="5"/>
    <x v="1"/>
    <x v="1"/>
  </r>
  <r>
    <x v="21"/>
    <n v="1709.6"/>
    <x v="6"/>
    <x v="0"/>
    <x v="1"/>
  </r>
  <r>
    <x v="21"/>
    <n v="73091.399999999994"/>
    <x v="6"/>
    <x v="1"/>
    <x v="1"/>
  </r>
  <r>
    <x v="21"/>
    <n v="347812"/>
    <x v="7"/>
    <x v="0"/>
    <x v="1"/>
  </r>
  <r>
    <x v="21"/>
    <n v="2633901.9"/>
    <x v="7"/>
    <x v="1"/>
    <x v="1"/>
  </r>
  <r>
    <x v="22"/>
    <n v="3273.7"/>
    <x v="0"/>
    <x v="0"/>
    <x v="2"/>
  </r>
  <r>
    <x v="22"/>
    <n v="23"/>
    <x v="0"/>
    <x v="1"/>
    <x v="2"/>
  </r>
  <r>
    <x v="22"/>
    <n v="17146.7"/>
    <x v="1"/>
    <x v="0"/>
    <x v="2"/>
  </r>
  <r>
    <x v="22"/>
    <n v="16150.6"/>
    <x v="1"/>
    <x v="1"/>
    <x v="2"/>
  </r>
  <r>
    <x v="22"/>
    <n v="0.4"/>
    <x v="2"/>
    <x v="0"/>
    <x v="2"/>
  </r>
  <r>
    <x v="22"/>
    <n v="0"/>
    <x v="2"/>
    <x v="1"/>
    <x v="2"/>
  </r>
  <r>
    <x v="22"/>
    <n v="20374.3"/>
    <x v="3"/>
    <x v="0"/>
    <x v="2"/>
  </r>
  <r>
    <x v="22"/>
    <n v="90894.8"/>
    <x v="3"/>
    <x v="1"/>
    <x v="2"/>
  </r>
  <r>
    <x v="22"/>
    <n v="67149.100000000006"/>
    <x v="4"/>
    <x v="0"/>
    <x v="2"/>
  </r>
  <r>
    <x v="22"/>
    <n v="978747.1"/>
    <x v="4"/>
    <x v="1"/>
    <x v="2"/>
  </r>
  <r>
    <x v="22"/>
    <n v="145009.79999999999"/>
    <x v="5"/>
    <x v="0"/>
    <x v="2"/>
  </r>
  <r>
    <x v="22"/>
    <n v="1919147.1"/>
    <x v="5"/>
    <x v="1"/>
    <x v="2"/>
  </r>
  <r>
    <x v="22"/>
    <n v="2045.7"/>
    <x v="6"/>
    <x v="0"/>
    <x v="2"/>
  </r>
  <r>
    <x v="22"/>
    <n v="74929.899999999994"/>
    <x v="6"/>
    <x v="1"/>
    <x v="2"/>
  </r>
  <r>
    <x v="22"/>
    <n v="373717.3"/>
    <x v="7"/>
    <x v="0"/>
    <x v="2"/>
  </r>
  <r>
    <x v="22"/>
    <n v="2493120.1"/>
    <x v="7"/>
    <x v="1"/>
    <x v="2"/>
  </r>
  <r>
    <x v="23"/>
    <n v="3239.2"/>
    <x v="0"/>
    <x v="0"/>
    <x v="2"/>
  </r>
  <r>
    <x v="23"/>
    <n v="22.1"/>
    <x v="0"/>
    <x v="1"/>
    <x v="2"/>
  </r>
  <r>
    <x v="23"/>
    <n v="17579.400000000001"/>
    <x v="1"/>
    <x v="0"/>
    <x v="2"/>
  </r>
  <r>
    <x v="23"/>
    <n v="16040.1"/>
    <x v="1"/>
    <x v="1"/>
    <x v="2"/>
  </r>
  <r>
    <x v="23"/>
    <n v="0.2"/>
    <x v="2"/>
    <x v="0"/>
    <x v="2"/>
  </r>
  <r>
    <x v="23"/>
    <n v="0"/>
    <x v="2"/>
    <x v="1"/>
    <x v="2"/>
  </r>
  <r>
    <x v="23"/>
    <n v="21608.2"/>
    <x v="3"/>
    <x v="0"/>
    <x v="2"/>
  </r>
  <r>
    <x v="23"/>
    <n v="85089.9"/>
    <x v="3"/>
    <x v="1"/>
    <x v="2"/>
  </r>
  <r>
    <x v="23"/>
    <n v="67068.2"/>
    <x v="4"/>
    <x v="0"/>
    <x v="2"/>
  </r>
  <r>
    <x v="23"/>
    <n v="895440.2"/>
    <x v="4"/>
    <x v="1"/>
    <x v="2"/>
  </r>
  <r>
    <x v="23"/>
    <n v="138162"/>
    <x v="5"/>
    <x v="0"/>
    <x v="2"/>
  </r>
  <r>
    <x v="23"/>
    <n v="1943413.7"/>
    <x v="5"/>
    <x v="1"/>
    <x v="2"/>
  </r>
  <r>
    <x v="23"/>
    <n v="2305.3000000000002"/>
    <x v="6"/>
    <x v="0"/>
    <x v="2"/>
  </r>
  <r>
    <x v="23"/>
    <n v="69692"/>
    <x v="6"/>
    <x v="1"/>
    <x v="2"/>
  </r>
  <r>
    <x v="23"/>
    <n v="356548.1"/>
    <x v="7"/>
    <x v="0"/>
    <x v="2"/>
  </r>
  <r>
    <x v="23"/>
    <n v="2454066.5"/>
    <x v="7"/>
    <x v="1"/>
    <x v="2"/>
  </r>
  <r>
    <x v="24"/>
    <n v="3190.3"/>
    <x v="0"/>
    <x v="0"/>
    <x v="2"/>
  </r>
  <r>
    <x v="24"/>
    <n v="25.4"/>
    <x v="0"/>
    <x v="1"/>
    <x v="2"/>
  </r>
  <r>
    <x v="24"/>
    <n v="19831.3"/>
    <x v="1"/>
    <x v="0"/>
    <x v="2"/>
  </r>
  <r>
    <x v="24"/>
    <n v="16500"/>
    <x v="1"/>
    <x v="1"/>
    <x v="2"/>
  </r>
  <r>
    <x v="24"/>
    <n v="0.2"/>
    <x v="2"/>
    <x v="0"/>
    <x v="2"/>
  </r>
  <r>
    <x v="24"/>
    <n v="0"/>
    <x v="2"/>
    <x v="1"/>
    <x v="2"/>
  </r>
  <r>
    <x v="24"/>
    <n v="31038.5"/>
    <x v="3"/>
    <x v="0"/>
    <x v="2"/>
  </r>
  <r>
    <x v="24"/>
    <n v="99781.3"/>
    <x v="3"/>
    <x v="1"/>
    <x v="2"/>
  </r>
  <r>
    <x v="24"/>
    <n v="71440.5"/>
    <x v="4"/>
    <x v="0"/>
    <x v="2"/>
  </r>
  <r>
    <x v="24"/>
    <n v="964514.8"/>
    <x v="4"/>
    <x v="1"/>
    <x v="2"/>
  </r>
  <r>
    <x v="24"/>
    <n v="146293"/>
    <x v="5"/>
    <x v="0"/>
    <x v="2"/>
  </r>
  <r>
    <x v="24"/>
    <n v="2102353.9"/>
    <x v="5"/>
    <x v="1"/>
    <x v="2"/>
  </r>
  <r>
    <x v="24"/>
    <n v="2607.3000000000002"/>
    <x v="6"/>
    <x v="0"/>
    <x v="2"/>
  </r>
  <r>
    <x v="24"/>
    <n v="75508.100000000006"/>
    <x v="6"/>
    <x v="1"/>
    <x v="2"/>
  </r>
  <r>
    <x v="24"/>
    <n v="361850.2"/>
    <x v="7"/>
    <x v="0"/>
    <x v="2"/>
  </r>
  <r>
    <x v="24"/>
    <n v="2732085.9"/>
    <x v="7"/>
    <x v="1"/>
    <x v="2"/>
  </r>
  <r>
    <x v="25"/>
    <n v="3413.9"/>
    <x v="0"/>
    <x v="0"/>
    <x v="2"/>
  </r>
  <r>
    <x v="25"/>
    <n v="25.4"/>
    <x v="0"/>
    <x v="1"/>
    <x v="2"/>
  </r>
  <r>
    <x v="25"/>
    <n v="21133.5"/>
    <x v="1"/>
    <x v="0"/>
    <x v="2"/>
  </r>
  <r>
    <x v="25"/>
    <n v="16244.3"/>
    <x v="1"/>
    <x v="1"/>
    <x v="2"/>
  </r>
  <r>
    <x v="25"/>
    <n v="0.7"/>
    <x v="2"/>
    <x v="0"/>
    <x v="2"/>
  </r>
  <r>
    <x v="25"/>
    <n v="28771.3"/>
    <x v="3"/>
    <x v="0"/>
    <x v="2"/>
  </r>
  <r>
    <x v="25"/>
    <n v="94252.6"/>
    <x v="3"/>
    <x v="1"/>
    <x v="2"/>
  </r>
  <r>
    <x v="25"/>
    <n v="67736"/>
    <x v="4"/>
    <x v="0"/>
    <x v="2"/>
  </r>
  <r>
    <x v="25"/>
    <n v="954795.1"/>
    <x v="4"/>
    <x v="1"/>
    <x v="2"/>
  </r>
  <r>
    <x v="25"/>
    <n v="142964.5"/>
    <x v="5"/>
    <x v="0"/>
    <x v="2"/>
  </r>
  <r>
    <x v="25"/>
    <n v="1998036.4"/>
    <x v="5"/>
    <x v="1"/>
    <x v="2"/>
  </r>
  <r>
    <x v="25"/>
    <n v="2467.6999999999998"/>
    <x v="6"/>
    <x v="0"/>
    <x v="2"/>
  </r>
  <r>
    <x v="25"/>
    <n v="72246.3"/>
    <x v="6"/>
    <x v="1"/>
    <x v="2"/>
  </r>
  <r>
    <x v="25"/>
    <n v="344452.6"/>
    <x v="7"/>
    <x v="0"/>
    <x v="2"/>
  </r>
  <r>
    <x v="25"/>
    <n v="2510958.2999999998"/>
    <x v="7"/>
    <x v="1"/>
    <x v="2"/>
  </r>
  <r>
    <x v="26"/>
    <n v="3315.8"/>
    <x v="0"/>
    <x v="0"/>
    <x v="2"/>
  </r>
  <r>
    <x v="26"/>
    <n v="26.6"/>
    <x v="0"/>
    <x v="1"/>
    <x v="2"/>
  </r>
  <r>
    <x v="26"/>
    <n v="21671.7"/>
    <x v="1"/>
    <x v="0"/>
    <x v="2"/>
  </r>
  <r>
    <x v="26"/>
    <n v="17696.7"/>
    <x v="1"/>
    <x v="1"/>
    <x v="2"/>
  </r>
  <r>
    <x v="26"/>
    <n v="0.9"/>
    <x v="2"/>
    <x v="0"/>
    <x v="2"/>
  </r>
  <r>
    <x v="26"/>
    <n v="31863"/>
    <x v="3"/>
    <x v="0"/>
    <x v="2"/>
  </r>
  <r>
    <x v="26"/>
    <n v="93409.4"/>
    <x v="3"/>
    <x v="1"/>
    <x v="2"/>
  </r>
  <r>
    <x v="26"/>
    <n v="71357.399999999994"/>
    <x v="4"/>
    <x v="0"/>
    <x v="2"/>
  </r>
  <r>
    <x v="26"/>
    <n v="1022800.3"/>
    <x v="4"/>
    <x v="1"/>
    <x v="2"/>
  </r>
  <r>
    <x v="26"/>
    <n v="142240"/>
    <x v="5"/>
    <x v="0"/>
    <x v="2"/>
  </r>
  <r>
    <x v="26"/>
    <n v="2141425.4"/>
    <x v="5"/>
    <x v="1"/>
    <x v="2"/>
  </r>
  <r>
    <x v="26"/>
    <n v="2551.8000000000002"/>
    <x v="6"/>
    <x v="0"/>
    <x v="2"/>
  </r>
  <r>
    <x v="26"/>
    <n v="76167.600000000006"/>
    <x v="6"/>
    <x v="1"/>
    <x v="2"/>
  </r>
  <r>
    <x v="26"/>
    <n v="342433.2"/>
    <x v="7"/>
    <x v="0"/>
    <x v="2"/>
  </r>
  <r>
    <x v="26"/>
    <n v="2594810.2000000002"/>
    <x v="7"/>
    <x v="1"/>
    <x v="2"/>
  </r>
  <r>
    <x v="27"/>
    <n v="3592.6"/>
    <x v="0"/>
    <x v="0"/>
    <x v="2"/>
  </r>
  <r>
    <x v="27"/>
    <n v="25.6"/>
    <x v="0"/>
    <x v="1"/>
    <x v="2"/>
  </r>
  <r>
    <x v="27"/>
    <n v="22841.4"/>
    <x v="1"/>
    <x v="0"/>
    <x v="2"/>
  </r>
  <r>
    <x v="27"/>
    <n v="16857.5"/>
    <x v="1"/>
    <x v="1"/>
    <x v="2"/>
  </r>
  <r>
    <x v="27"/>
    <n v="0.8"/>
    <x v="2"/>
    <x v="0"/>
    <x v="2"/>
  </r>
  <r>
    <x v="27"/>
    <n v="31156.6"/>
    <x v="3"/>
    <x v="0"/>
    <x v="2"/>
  </r>
  <r>
    <x v="27"/>
    <n v="98455.9"/>
    <x v="3"/>
    <x v="1"/>
    <x v="2"/>
  </r>
  <r>
    <x v="27"/>
    <n v="70489.399999999994"/>
    <x v="4"/>
    <x v="0"/>
    <x v="2"/>
  </r>
  <r>
    <x v="27"/>
    <n v="1031506.4"/>
    <x v="4"/>
    <x v="1"/>
    <x v="2"/>
  </r>
  <r>
    <x v="27"/>
    <n v="144029.1"/>
    <x v="5"/>
    <x v="0"/>
    <x v="2"/>
  </r>
  <r>
    <x v="27"/>
    <n v="2085929.4"/>
    <x v="5"/>
    <x v="1"/>
    <x v="2"/>
  </r>
  <r>
    <x v="27"/>
    <n v="2608"/>
    <x v="6"/>
    <x v="0"/>
    <x v="2"/>
  </r>
  <r>
    <x v="27"/>
    <n v="76140.3"/>
    <x v="6"/>
    <x v="1"/>
    <x v="2"/>
  </r>
  <r>
    <x v="27"/>
    <n v="370393.9"/>
    <x v="7"/>
    <x v="0"/>
    <x v="2"/>
  </r>
  <r>
    <x v="27"/>
    <n v="2544050.1"/>
    <x v="7"/>
    <x v="1"/>
    <x v="2"/>
  </r>
  <r>
    <x v="28"/>
    <n v="1100.9000000000001"/>
    <x v="0"/>
    <x v="0"/>
    <x v="2"/>
  </r>
  <r>
    <x v="28"/>
    <n v="28.5"/>
    <x v="0"/>
    <x v="1"/>
    <x v="2"/>
  </r>
  <r>
    <x v="28"/>
    <n v="19777.900000000001"/>
    <x v="1"/>
    <x v="0"/>
    <x v="2"/>
  </r>
  <r>
    <x v="28"/>
    <n v="16848.400000000001"/>
    <x v="1"/>
    <x v="1"/>
    <x v="2"/>
  </r>
  <r>
    <x v="28"/>
    <n v="0.9"/>
    <x v="2"/>
    <x v="0"/>
    <x v="2"/>
  </r>
  <r>
    <x v="28"/>
    <n v="33689.4"/>
    <x v="3"/>
    <x v="0"/>
    <x v="2"/>
  </r>
  <r>
    <x v="28"/>
    <n v="101240.2"/>
    <x v="3"/>
    <x v="1"/>
    <x v="2"/>
  </r>
  <r>
    <x v="28"/>
    <n v="90099.3"/>
    <x v="4"/>
    <x v="0"/>
    <x v="2"/>
  </r>
  <r>
    <x v="28"/>
    <n v="1011509"/>
    <x v="4"/>
    <x v="1"/>
    <x v="2"/>
  </r>
  <r>
    <x v="28"/>
    <n v="213117.7"/>
    <x v="5"/>
    <x v="0"/>
    <x v="2"/>
  </r>
  <r>
    <x v="28"/>
    <n v="2037639"/>
    <x v="5"/>
    <x v="1"/>
    <x v="2"/>
  </r>
  <r>
    <x v="28"/>
    <n v="4834.8"/>
    <x v="6"/>
    <x v="0"/>
    <x v="2"/>
  </r>
  <r>
    <x v="28"/>
    <n v="75269.399999999994"/>
    <x v="6"/>
    <x v="1"/>
    <x v="2"/>
  </r>
  <r>
    <x v="28"/>
    <n v="206198"/>
    <x v="7"/>
    <x v="0"/>
    <x v="2"/>
  </r>
  <r>
    <x v="28"/>
    <n v="2349976"/>
    <x v="7"/>
    <x v="1"/>
    <x v="2"/>
  </r>
  <r>
    <x v="29"/>
    <n v="875.3"/>
    <x v="0"/>
    <x v="0"/>
    <x v="2"/>
  </r>
  <r>
    <x v="29"/>
    <n v="28.5"/>
    <x v="0"/>
    <x v="1"/>
    <x v="2"/>
  </r>
  <r>
    <x v="29"/>
    <n v="19149.099999999999"/>
    <x v="1"/>
    <x v="0"/>
    <x v="2"/>
  </r>
  <r>
    <x v="29"/>
    <n v="17151.599999999999"/>
    <x v="1"/>
    <x v="1"/>
    <x v="2"/>
  </r>
  <r>
    <x v="29"/>
    <n v="1.4"/>
    <x v="2"/>
    <x v="0"/>
    <x v="2"/>
  </r>
  <r>
    <x v="29"/>
    <n v="0"/>
    <x v="2"/>
    <x v="1"/>
    <x v="2"/>
  </r>
  <r>
    <x v="29"/>
    <n v="32297.1"/>
    <x v="3"/>
    <x v="0"/>
    <x v="2"/>
  </r>
  <r>
    <x v="29"/>
    <n v="116018.5"/>
    <x v="3"/>
    <x v="1"/>
    <x v="2"/>
  </r>
  <r>
    <x v="29"/>
    <n v="86580.4"/>
    <x v="4"/>
    <x v="0"/>
    <x v="2"/>
  </r>
  <r>
    <x v="29"/>
    <n v="986816.1"/>
    <x v="4"/>
    <x v="1"/>
    <x v="2"/>
  </r>
  <r>
    <x v="29"/>
    <n v="193823.6"/>
    <x v="5"/>
    <x v="0"/>
    <x v="2"/>
  </r>
  <r>
    <x v="29"/>
    <n v="2041790.6"/>
    <x v="5"/>
    <x v="1"/>
    <x v="2"/>
  </r>
  <r>
    <x v="29"/>
    <n v="4461.3999999999996"/>
    <x v="6"/>
    <x v="0"/>
    <x v="2"/>
  </r>
  <r>
    <x v="29"/>
    <n v="74069"/>
    <x v="6"/>
    <x v="1"/>
    <x v="2"/>
  </r>
  <r>
    <x v="29"/>
    <n v="184409.2"/>
    <x v="7"/>
    <x v="0"/>
    <x v="2"/>
  </r>
  <r>
    <x v="29"/>
    <n v="2306408.5"/>
    <x v="7"/>
    <x v="1"/>
    <x v="2"/>
  </r>
  <r>
    <x v="30"/>
    <n v="1011.7"/>
    <x v="0"/>
    <x v="0"/>
    <x v="2"/>
  </r>
  <r>
    <x v="30"/>
    <n v="29.8"/>
    <x v="0"/>
    <x v="1"/>
    <x v="2"/>
  </r>
  <r>
    <x v="30"/>
    <n v="19936.3"/>
    <x v="1"/>
    <x v="0"/>
    <x v="2"/>
  </r>
  <r>
    <x v="30"/>
    <n v="18371.3"/>
    <x v="1"/>
    <x v="1"/>
    <x v="2"/>
  </r>
  <r>
    <x v="30"/>
    <n v="1.5"/>
    <x v="2"/>
    <x v="0"/>
    <x v="2"/>
  </r>
  <r>
    <x v="30"/>
    <n v="0"/>
    <x v="2"/>
    <x v="1"/>
    <x v="2"/>
  </r>
  <r>
    <x v="30"/>
    <n v="30118.3"/>
    <x v="3"/>
    <x v="0"/>
    <x v="2"/>
  </r>
  <r>
    <x v="30"/>
    <n v="108052.6"/>
    <x v="3"/>
    <x v="1"/>
    <x v="2"/>
  </r>
  <r>
    <x v="30"/>
    <n v="86987.6"/>
    <x v="4"/>
    <x v="0"/>
    <x v="2"/>
  </r>
  <r>
    <x v="30"/>
    <n v="1028419.6"/>
    <x v="4"/>
    <x v="1"/>
    <x v="2"/>
  </r>
  <r>
    <x v="30"/>
    <n v="188719.7"/>
    <x v="5"/>
    <x v="0"/>
    <x v="2"/>
  </r>
  <r>
    <x v="30"/>
    <n v="2060761.6"/>
    <x v="5"/>
    <x v="1"/>
    <x v="2"/>
  </r>
  <r>
    <x v="30"/>
    <n v="4560.3999999999996"/>
    <x v="6"/>
    <x v="0"/>
    <x v="2"/>
  </r>
  <r>
    <x v="30"/>
    <n v="80923.8"/>
    <x v="6"/>
    <x v="1"/>
    <x v="2"/>
  </r>
  <r>
    <x v="30"/>
    <n v="189625.5"/>
    <x v="7"/>
    <x v="0"/>
    <x v="2"/>
  </r>
  <r>
    <x v="30"/>
    <n v="2320970.2000000002"/>
    <x v="7"/>
    <x v="1"/>
    <x v="2"/>
  </r>
  <r>
    <x v="31"/>
    <n v="986.2"/>
    <x v="0"/>
    <x v="0"/>
    <x v="2"/>
  </r>
  <r>
    <x v="31"/>
    <n v="32.6"/>
    <x v="0"/>
    <x v="1"/>
    <x v="2"/>
  </r>
  <r>
    <x v="31"/>
    <n v="15734.5"/>
    <x v="1"/>
    <x v="0"/>
    <x v="2"/>
  </r>
  <r>
    <x v="31"/>
    <n v="19199.3"/>
    <x v="1"/>
    <x v="1"/>
    <x v="2"/>
  </r>
  <r>
    <x v="31"/>
    <n v="1.4"/>
    <x v="2"/>
    <x v="0"/>
    <x v="2"/>
  </r>
  <r>
    <x v="31"/>
    <n v="0"/>
    <x v="2"/>
    <x v="1"/>
    <x v="2"/>
  </r>
  <r>
    <x v="31"/>
    <n v="26367.8"/>
    <x v="3"/>
    <x v="0"/>
    <x v="2"/>
  </r>
  <r>
    <x v="31"/>
    <n v="99475.4"/>
    <x v="3"/>
    <x v="1"/>
    <x v="2"/>
  </r>
  <r>
    <x v="31"/>
    <n v="74988.2"/>
    <x v="4"/>
    <x v="0"/>
    <x v="2"/>
  </r>
  <r>
    <x v="31"/>
    <n v="1105216.5"/>
    <x v="4"/>
    <x v="1"/>
    <x v="2"/>
  </r>
  <r>
    <x v="31"/>
    <n v="174542.6"/>
    <x v="5"/>
    <x v="0"/>
    <x v="2"/>
  </r>
  <r>
    <x v="31"/>
    <n v="2128536.2999999998"/>
    <x v="5"/>
    <x v="1"/>
    <x v="2"/>
  </r>
  <r>
    <x v="31"/>
    <n v="3953.2"/>
    <x v="6"/>
    <x v="0"/>
    <x v="2"/>
  </r>
  <r>
    <x v="31"/>
    <n v="85453.5"/>
    <x v="6"/>
    <x v="1"/>
    <x v="2"/>
  </r>
  <r>
    <x v="31"/>
    <n v="210423.9"/>
    <x v="7"/>
    <x v="0"/>
    <x v="2"/>
  </r>
  <r>
    <x v="31"/>
    <n v="2279071.1"/>
    <x v="7"/>
    <x v="1"/>
    <x v="2"/>
  </r>
  <r>
    <x v="32"/>
    <n v="1187.4000000000001"/>
    <x v="0"/>
    <x v="0"/>
    <x v="2"/>
  </r>
  <r>
    <x v="32"/>
    <n v="36.299999999999997"/>
    <x v="0"/>
    <x v="1"/>
    <x v="2"/>
  </r>
  <r>
    <x v="32"/>
    <n v="3398.5"/>
    <x v="1"/>
    <x v="0"/>
    <x v="2"/>
  </r>
  <r>
    <x v="32"/>
    <n v="20625.599999999999"/>
    <x v="1"/>
    <x v="1"/>
    <x v="2"/>
  </r>
  <r>
    <x v="32"/>
    <n v="0"/>
    <x v="2"/>
    <x v="0"/>
    <x v="2"/>
  </r>
  <r>
    <x v="32"/>
    <n v="0"/>
    <x v="2"/>
    <x v="1"/>
    <x v="2"/>
  </r>
  <r>
    <x v="32"/>
    <n v="14416.2"/>
    <x v="3"/>
    <x v="0"/>
    <x v="2"/>
  </r>
  <r>
    <x v="32"/>
    <n v="96039.8"/>
    <x v="3"/>
    <x v="1"/>
    <x v="2"/>
  </r>
  <r>
    <x v="32"/>
    <n v="47606.3"/>
    <x v="4"/>
    <x v="0"/>
    <x v="2"/>
  </r>
  <r>
    <x v="32"/>
    <n v="1100635.8999999999"/>
    <x v="4"/>
    <x v="1"/>
    <x v="2"/>
  </r>
  <r>
    <x v="32"/>
    <n v="124443.9"/>
    <x v="5"/>
    <x v="0"/>
    <x v="2"/>
  </r>
  <r>
    <x v="32"/>
    <n v="2048835.4"/>
    <x v="5"/>
    <x v="1"/>
    <x v="2"/>
  </r>
  <r>
    <x v="32"/>
    <n v="3333.3"/>
    <x v="6"/>
    <x v="0"/>
    <x v="2"/>
  </r>
  <r>
    <x v="32"/>
    <n v="83406.899999999994"/>
    <x v="6"/>
    <x v="1"/>
    <x v="2"/>
  </r>
  <r>
    <x v="32"/>
    <n v="81142.600000000006"/>
    <x v="7"/>
    <x v="0"/>
    <x v="2"/>
  </r>
  <r>
    <x v="32"/>
    <n v="2256005"/>
    <x v="7"/>
    <x v="1"/>
    <x v="2"/>
  </r>
  <r>
    <x v="33"/>
    <m/>
    <x v="8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4E894-8572-4DD8-836A-7F10B4E90D12}" name="Tabela dinâmica1" cacheId="3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A4:B38" firstHeaderRow="1" firstDataRow="1" firstDataCol="1" rowPageCount="2" colPageCount="1"/>
  <pivotFields count="5">
    <pivotField axis="axisRow" showAll="0">
      <items count="35"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showAll="0"/>
    <pivotField axis="axisPage" multipleItemSelectionAllowed="1" showAll="0">
      <items count="12">
        <item h="1" x="0"/>
        <item h="1" x="1"/>
        <item h="1" x="2"/>
        <item h="1" x="3"/>
        <item h="1" x="4"/>
        <item h="1" m="1" x="9"/>
        <item h="1" x="6"/>
        <item h="1" m="1" x="10"/>
        <item h="1" x="8"/>
        <item h="1" x="5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3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2">
    <pageField fld="3" item="1" hier="-1"/>
    <pageField fld="2" hier="-1"/>
  </pageFields>
  <dataFields count="1">
    <dataField name="Revenue" fld="1" baseField="0" baseItem="0" numFmtId="165"/>
  </dataFields>
  <formats count="2">
    <format dxfId="12">
      <pivotArea outline="0" collapsedLevelsAreSubtotals="1" fieldPosition="0"/>
    </format>
    <format dxfId="13">
      <pivotArea dataOnly="0" labelOnly="1" outline="0" axis="axisValues" fieldPosition="0"/>
    </format>
  </formats>
  <chartFormats count="47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70B82-F3A7-49FA-8B49-CA22E9D191B1}" name="Tabela dinâmica1" cacheId="34" dataOnRows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6">
  <location ref="A5:E8" firstHeaderRow="1" firstDataRow="2" firstDataCol="1" rowPageCount="3" colPageCount="1"/>
  <pivotFields count="5">
    <pivotField axis="axisPage" showAll="0">
      <items count="35"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showAll="0"/>
    <pivotField axis="axisPage" multipleItemSelectionAllowed="1" showAll="0">
      <items count="12">
        <item h="1" x="0"/>
        <item h="1" x="1"/>
        <item h="1" x="2"/>
        <item h="1" x="3"/>
        <item h="1" x="4"/>
        <item h="1" m="1" x="9"/>
        <item h="1" x="6"/>
        <item m="1" x="10"/>
        <item h="1" x="8"/>
        <item h="1" x="5"/>
        <item x="7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5">
        <item n="2022" x="0"/>
        <item n="2023" x="1"/>
        <item n="2024" x="2"/>
        <item x="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4"/>
  </colFields>
  <colItems count="4">
    <i>
      <x/>
    </i>
    <i>
      <x v="1"/>
    </i>
    <i>
      <x v="2"/>
    </i>
    <i t="grand">
      <x/>
    </i>
  </colItems>
  <pageFields count="3">
    <pageField fld="2" hier="-1"/>
    <pageField fld="0" hier="-1"/>
    <pageField fld="3" item="1" hier="-1"/>
  </pageFields>
  <dataFields count="2">
    <dataField name="Revenue" fld="1" baseField="0" baseItem="0" numFmtId="165"/>
    <dataField name="Soma de selected_easure_display" fld="1" showDataAs="percentDiff" baseField="4" baseItem="1048828" numFmtId="10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3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5" format="5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5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481F-1617-48D3-B547-78D4A4D7592C}">
  <dimension ref="A1:AJ54"/>
  <sheetViews>
    <sheetView tabSelected="1" zoomScale="130" zoomScaleNormal="130" workbookViewId="0">
      <selection activeCell="B53" sqref="B53"/>
    </sheetView>
  </sheetViews>
  <sheetFormatPr defaultRowHeight="15"/>
  <cols>
    <col min="1" max="1" width="18" bestFit="1" customWidth="1"/>
    <col min="2" max="2" width="36" customWidth="1"/>
    <col min="3" max="3" width="13.140625" bestFit="1" customWidth="1"/>
    <col min="4" max="4" width="13.85546875" bestFit="1" customWidth="1"/>
    <col min="5" max="5" width="18.140625" bestFit="1" customWidth="1"/>
    <col min="6" max="6" width="9.85546875" bestFit="1" customWidth="1"/>
    <col min="7" max="7" width="13.140625" bestFit="1" customWidth="1"/>
    <col min="8" max="8" width="10.5703125" bestFit="1" customWidth="1"/>
    <col min="9" max="9" width="13.140625" bestFit="1" customWidth="1"/>
    <col min="10" max="10" width="11.5703125" bestFit="1" customWidth="1"/>
    <col min="11" max="11" width="13.140625" bestFit="1" customWidth="1"/>
    <col min="12" max="12" width="10.5703125" bestFit="1" customWidth="1"/>
    <col min="13" max="13" width="13.140625" bestFit="1" customWidth="1"/>
    <col min="14" max="14" width="8.85546875" bestFit="1" customWidth="1"/>
    <col min="15" max="15" width="13.140625" bestFit="1" customWidth="1"/>
    <col min="16" max="16" width="14" bestFit="1" customWidth="1"/>
    <col min="17" max="17" width="13.140625" bestFit="1" customWidth="1"/>
    <col min="18" max="18" width="14" bestFit="1" customWidth="1"/>
    <col min="19" max="19" width="13.140625" bestFit="1" customWidth="1"/>
    <col min="20" max="20" width="13.85546875" bestFit="1" customWidth="1"/>
    <col min="21" max="21" width="18.140625" bestFit="1" customWidth="1"/>
    <col min="22" max="35" width="10.7109375" bestFit="1" customWidth="1"/>
    <col min="36" max="36" width="12.5703125" bestFit="1" customWidth="1"/>
  </cols>
  <sheetData>
    <row r="1" spans="1:36">
      <c r="A1" s="2" t="s">
        <v>21</v>
      </c>
      <c r="B1" t="s">
        <v>20</v>
      </c>
    </row>
    <row r="2" spans="1:36">
      <c r="A2" s="2" t="s">
        <v>1</v>
      </c>
      <c r="B2" t="s">
        <v>9</v>
      </c>
    </row>
    <row r="4" spans="1:36" s="4" customFormat="1">
      <c r="A4" s="2" t="s">
        <v>14</v>
      </c>
      <c r="B4" s="6" t="s">
        <v>15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s="3" customFormat="1">
      <c r="A5" s="7">
        <v>44562</v>
      </c>
      <c r="B5" s="6">
        <v>1656368.2</v>
      </c>
      <c r="C5" s="9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A6" s="7">
        <v>44593</v>
      </c>
      <c r="B6" s="6">
        <v>1696731.7</v>
      </c>
    </row>
    <row r="7" spans="1:36">
      <c r="A7" s="7">
        <v>44621</v>
      </c>
      <c r="B7" s="6">
        <v>2077152</v>
      </c>
    </row>
    <row r="8" spans="1:36">
      <c r="A8" s="7">
        <v>44652</v>
      </c>
      <c r="B8" s="6">
        <v>2043950.7</v>
      </c>
    </row>
    <row r="9" spans="1:36">
      <c r="A9" s="7">
        <v>44682</v>
      </c>
      <c r="B9" s="6">
        <v>2062883.3</v>
      </c>
    </row>
    <row r="10" spans="1:36">
      <c r="A10" s="7">
        <v>44713</v>
      </c>
      <c r="B10" s="6">
        <v>2014409.1</v>
      </c>
    </row>
    <row r="11" spans="1:36">
      <c r="A11" s="7">
        <v>44743</v>
      </c>
      <c r="B11" s="6">
        <v>1960753.1</v>
      </c>
    </row>
    <row r="12" spans="1:36">
      <c r="A12" s="7">
        <v>44774</v>
      </c>
      <c r="B12" s="6">
        <v>2149961.5</v>
      </c>
    </row>
    <row r="13" spans="1:36">
      <c r="A13" s="7">
        <v>44805</v>
      </c>
      <c r="B13" s="6">
        <v>2222820</v>
      </c>
    </row>
    <row r="14" spans="1:36">
      <c r="A14" s="7">
        <v>44835</v>
      </c>
      <c r="B14" s="6">
        <v>2248606.4</v>
      </c>
    </row>
    <row r="15" spans="1:36">
      <c r="A15" s="7">
        <v>44866</v>
      </c>
      <c r="B15" s="6">
        <v>2327969.1</v>
      </c>
    </row>
    <row r="16" spans="1:36">
      <c r="A16" s="7">
        <v>44927</v>
      </c>
      <c r="B16" s="6">
        <v>2189935.6</v>
      </c>
    </row>
    <row r="17" spans="1:2">
      <c r="A17" s="7">
        <v>44958</v>
      </c>
      <c r="B17" s="6">
        <v>2168539.7000000002</v>
      </c>
    </row>
    <row r="18" spans="1:2">
      <c r="A18" s="7">
        <v>44986</v>
      </c>
      <c r="B18" s="6">
        <v>2348155.7999999998</v>
      </c>
    </row>
    <row r="19" spans="1:2">
      <c r="A19" s="7">
        <v>45017</v>
      </c>
      <c r="B19" s="6">
        <v>2266595.1</v>
      </c>
    </row>
    <row r="20" spans="1:2">
      <c r="A20" s="7">
        <v>45047</v>
      </c>
      <c r="B20" s="6">
        <v>2390411.9</v>
      </c>
    </row>
    <row r="21" spans="1:2">
      <c r="A21" s="7">
        <v>45078</v>
      </c>
      <c r="B21" s="6">
        <v>2446155.2000000002</v>
      </c>
    </row>
    <row r="22" spans="1:2">
      <c r="A22" s="7">
        <v>45108</v>
      </c>
      <c r="B22" s="6">
        <v>2479840.9</v>
      </c>
    </row>
    <row r="23" spans="1:2">
      <c r="A23" s="7">
        <v>45139</v>
      </c>
      <c r="B23" s="6">
        <v>2602625.4</v>
      </c>
    </row>
    <row r="24" spans="1:2">
      <c r="A24" s="7">
        <v>45170</v>
      </c>
      <c r="B24" s="6">
        <v>2588789</v>
      </c>
    </row>
    <row r="25" spans="1:2">
      <c r="A25" s="7">
        <v>45200</v>
      </c>
      <c r="B25" s="6">
        <v>2689297.9</v>
      </c>
    </row>
    <row r="26" spans="1:2">
      <c r="A26" s="7">
        <v>45231</v>
      </c>
      <c r="B26" s="6">
        <v>2633901.9</v>
      </c>
    </row>
    <row r="27" spans="1:2">
      <c r="A27" s="7">
        <v>45292</v>
      </c>
      <c r="B27" s="6">
        <v>2493120.1</v>
      </c>
    </row>
    <row r="28" spans="1:2">
      <c r="A28" s="7">
        <v>45323</v>
      </c>
      <c r="B28" s="6">
        <v>2454066.5</v>
      </c>
    </row>
    <row r="29" spans="1:2">
      <c r="A29" s="7">
        <v>45352</v>
      </c>
      <c r="B29" s="6">
        <v>2732085.9</v>
      </c>
    </row>
    <row r="30" spans="1:2">
      <c r="A30" s="7">
        <v>45383</v>
      </c>
      <c r="B30" s="6">
        <v>2510958.2999999998</v>
      </c>
    </row>
    <row r="31" spans="1:2">
      <c r="A31" s="7">
        <v>45413</v>
      </c>
      <c r="B31" s="6">
        <v>2594810.2000000002</v>
      </c>
    </row>
    <row r="32" spans="1:2">
      <c r="A32" s="7">
        <v>45444</v>
      </c>
      <c r="B32" s="6">
        <v>2544050.1</v>
      </c>
    </row>
    <row r="33" spans="1:2">
      <c r="A33" s="7">
        <v>45474</v>
      </c>
      <c r="B33" s="6">
        <v>2349976</v>
      </c>
    </row>
    <row r="34" spans="1:2">
      <c r="A34" s="7">
        <v>45505</v>
      </c>
      <c r="B34" s="6">
        <v>2306408.5</v>
      </c>
    </row>
    <row r="35" spans="1:2">
      <c r="A35" s="7">
        <v>45536</v>
      </c>
      <c r="B35" s="6">
        <v>2320970.2000000002</v>
      </c>
    </row>
    <row r="36" spans="1:2">
      <c r="A36" s="7">
        <v>45566</v>
      </c>
      <c r="B36" s="6">
        <v>2279071.1</v>
      </c>
    </row>
    <row r="37" spans="1:2">
      <c r="A37" s="7">
        <v>45597</v>
      </c>
      <c r="B37" s="6">
        <v>2256005</v>
      </c>
    </row>
    <row r="38" spans="1:2">
      <c r="A38" s="5" t="s">
        <v>11</v>
      </c>
      <c r="B38" s="6">
        <v>76107375.399999991</v>
      </c>
    </row>
    <row r="40" spans="1:2">
      <c r="A40" s="7">
        <v>45658</v>
      </c>
      <c r="B40" s="10">
        <f>251894*LN(A40)</f>
        <v>2702554.1304951953</v>
      </c>
    </row>
    <row r="41" spans="1:2">
      <c r="A41" s="7">
        <v>45689</v>
      </c>
      <c r="B41" s="10">
        <f>251894*LN(A41)</f>
        <v>2702725.0986561584</v>
      </c>
    </row>
    <row r="42" spans="1:2">
      <c r="A42" s="7">
        <v>45717</v>
      </c>
      <c r="B42" s="10">
        <f t="shared" ref="B42:B50" si="0">251894*LN(A42)</f>
        <v>2702879.4218345191</v>
      </c>
    </row>
    <row r="43" spans="1:2">
      <c r="A43" s="7">
        <v>45748</v>
      </c>
      <c r="B43" s="10">
        <f t="shared" si="0"/>
        <v>2703050.1694275653</v>
      </c>
    </row>
    <row r="44" spans="1:2">
      <c r="A44" s="7">
        <v>45778</v>
      </c>
      <c r="B44" s="10">
        <f t="shared" si="0"/>
        <v>2703215.2989048865</v>
      </c>
    </row>
    <row r="45" spans="1:2">
      <c r="A45" s="7">
        <v>45809</v>
      </c>
      <c r="B45" s="10">
        <f t="shared" si="0"/>
        <v>2703385.819050719</v>
      </c>
    </row>
    <row r="46" spans="1:2">
      <c r="A46" s="7">
        <v>45839</v>
      </c>
      <c r="B46" s="10">
        <f t="shared" si="0"/>
        <v>2703550.7287109392</v>
      </c>
    </row>
    <row r="47" spans="1:2">
      <c r="A47" s="7">
        <v>45870</v>
      </c>
      <c r="B47" s="10">
        <f t="shared" si="0"/>
        <v>2703721.0220147022</v>
      </c>
    </row>
    <row r="48" spans="1:2">
      <c r="A48" s="7">
        <v>45901</v>
      </c>
      <c r="B48" s="10">
        <f t="shared" si="0"/>
        <v>2703891.2002692055</v>
      </c>
    </row>
    <row r="49" spans="1:2">
      <c r="A49" s="7">
        <v>45931</v>
      </c>
      <c r="B49" s="10">
        <f t="shared" si="0"/>
        <v>2704055.7795067006</v>
      </c>
    </row>
    <row r="50" spans="1:2">
      <c r="A50" s="7">
        <v>45962</v>
      </c>
      <c r="B50" s="10">
        <f t="shared" si="0"/>
        <v>2704225.7318272521</v>
      </c>
    </row>
    <row r="51" spans="1:2">
      <c r="A51" s="7"/>
    </row>
    <row r="52" spans="1:2">
      <c r="A52" s="7" t="s">
        <v>22</v>
      </c>
      <c r="B52" s="6">
        <f>SUM(B40:B50)</f>
        <v>29737254.400697846</v>
      </c>
    </row>
    <row r="53" spans="1:2">
      <c r="A53" s="7"/>
    </row>
    <row r="54" spans="1:2">
      <c r="A54" s="7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CB0-4418-416B-B1BC-064233FF3E8F}">
  <dimension ref="A1:AJ12"/>
  <sheetViews>
    <sheetView topLeftCell="B1" workbookViewId="0">
      <selection activeCell="M27" sqref="M27"/>
    </sheetView>
  </sheetViews>
  <sheetFormatPr defaultRowHeight="15"/>
  <cols>
    <col min="1" max="1" width="31.5703125" bestFit="1" customWidth="1"/>
    <col min="2" max="2" width="19.5703125" bestFit="1" customWidth="1"/>
    <col min="3" max="5" width="11.5703125" bestFit="1" customWidth="1"/>
    <col min="6" max="6" width="12.5703125" bestFit="1" customWidth="1"/>
    <col min="7" max="7" width="20.7109375" bestFit="1" customWidth="1"/>
    <col min="8" max="8" width="25" bestFit="1" customWidth="1"/>
    <col min="9" max="9" width="13.85546875" bestFit="1" customWidth="1"/>
    <col min="10" max="10" width="18.140625" bestFit="1" customWidth="1"/>
    <col min="11" max="11" width="12.5703125" bestFit="1" customWidth="1"/>
    <col min="12" max="35" width="10.7109375" bestFit="1" customWidth="1"/>
    <col min="36" max="36" width="12.5703125" bestFit="1" customWidth="1"/>
  </cols>
  <sheetData>
    <row r="1" spans="1:36">
      <c r="A1" s="2" t="s">
        <v>1</v>
      </c>
      <c r="B1" t="s">
        <v>9</v>
      </c>
    </row>
    <row r="2" spans="1:36">
      <c r="A2" s="2" t="s">
        <v>0</v>
      </c>
      <c r="B2" t="s">
        <v>18</v>
      </c>
    </row>
    <row r="3" spans="1:36">
      <c r="A3" s="2" t="s">
        <v>21</v>
      </c>
      <c r="B3" t="s">
        <v>20</v>
      </c>
    </row>
    <row r="4" spans="1:36" s="4" customForma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s="3" customFormat="1">
      <c r="A5"/>
      <c r="B5" s="2" t="s">
        <v>10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A6" s="2" t="s">
        <v>17</v>
      </c>
      <c r="B6" t="s">
        <v>23</v>
      </c>
      <c r="C6" t="s">
        <v>24</v>
      </c>
      <c r="D6" t="s">
        <v>25</v>
      </c>
      <c r="E6" t="s">
        <v>11</v>
      </c>
      <c r="G6" t="s">
        <v>26</v>
      </c>
    </row>
    <row r="7" spans="1:36">
      <c r="A7" s="5" t="s">
        <v>15</v>
      </c>
      <c r="B7" s="6">
        <v>22461605.099999998</v>
      </c>
      <c r="C7" s="6">
        <v>26804248.400000002</v>
      </c>
      <c r="D7" s="6">
        <v>26841521.900000002</v>
      </c>
      <c r="E7" s="6">
        <v>76107375.400000006</v>
      </c>
      <c r="G7" s="11">
        <f>'EVOLUÇÃO MENSAL'!$B$52</f>
        <v>29737254.400697846</v>
      </c>
    </row>
    <row r="8" spans="1:36">
      <c r="A8" s="5" t="s">
        <v>13</v>
      </c>
      <c r="B8" s="8"/>
      <c r="C8" s="8">
        <v>0.19333628566019109</v>
      </c>
      <c r="D8" s="8">
        <v>1.390581800458169E-3</v>
      </c>
      <c r="E8" s="8"/>
      <c r="G8" s="12">
        <f>(G7-GETPIVOTDATA("Revenue",$A$5,"Year","2024"))/GETPIVOTDATA("Revenue",$A$5,"Year","2024")</f>
        <v>0.10788257504496582</v>
      </c>
    </row>
    <row r="11" spans="1:36">
      <c r="B11" s="1">
        <v>2022</v>
      </c>
      <c r="C11" s="1">
        <v>2023</v>
      </c>
      <c r="D11" s="1">
        <v>2024</v>
      </c>
      <c r="E11">
        <v>2025</v>
      </c>
    </row>
    <row r="12" spans="1:36">
      <c r="B12" s="6">
        <v>22461605.099999998</v>
      </c>
      <c r="C12" s="6">
        <v>26804248.400000002</v>
      </c>
      <c r="D12" s="6">
        <v>26841521.900000002</v>
      </c>
      <c r="E12" s="11">
        <f>'EVOLUÇÃO MENSAL'!$B$52</f>
        <v>29737254.400697846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45BB-DAB4-4408-8351-987D498F4CEF}">
  <dimension ref="A1:E525"/>
  <sheetViews>
    <sheetView topLeftCell="A511" workbookViewId="0">
      <selection activeCell="E265" sqref="E265:E525"/>
    </sheetView>
  </sheetViews>
  <sheetFormatPr defaultRowHeight="15"/>
  <cols>
    <col min="1" max="1" width="10.7109375" style="4" bestFit="1" customWidth="1"/>
    <col min="2" max="2" width="25" style="3" bestFit="1" customWidth="1"/>
    <col min="3" max="3" width="14" bestFit="1" customWidth="1"/>
    <col min="4" max="4" width="25.140625" customWidth="1"/>
  </cols>
  <sheetData>
    <row r="1" spans="1:5">
      <c r="A1" s="4" t="s">
        <v>0</v>
      </c>
      <c r="B1" s="3" t="s">
        <v>12</v>
      </c>
      <c r="C1" t="s">
        <v>1</v>
      </c>
      <c r="D1" t="s">
        <v>21</v>
      </c>
      <c r="E1" t="s">
        <v>16</v>
      </c>
    </row>
    <row r="2" spans="1:5">
      <c r="A2" s="4">
        <v>44562</v>
      </c>
      <c r="B2" s="3">
        <v>31352.1</v>
      </c>
      <c r="C2" t="s">
        <v>2</v>
      </c>
      <c r="D2" t="s">
        <v>19</v>
      </c>
      <c r="E2">
        <f>YEAR(A2)</f>
        <v>2022</v>
      </c>
    </row>
    <row r="3" spans="1:5">
      <c r="A3" s="4">
        <v>44562</v>
      </c>
      <c r="B3" s="3">
        <v>8</v>
      </c>
      <c r="C3" t="s">
        <v>2</v>
      </c>
      <c r="D3" t="s">
        <v>20</v>
      </c>
      <c r="E3">
        <f t="shared" ref="E3:E66" si="0">YEAR(A3)</f>
        <v>2022</v>
      </c>
    </row>
    <row r="4" spans="1:5">
      <c r="A4" s="4">
        <v>44562</v>
      </c>
      <c r="B4" s="3">
        <v>5976.9</v>
      </c>
      <c r="C4" t="s">
        <v>3</v>
      </c>
      <c r="D4" t="s">
        <v>19</v>
      </c>
      <c r="E4">
        <f t="shared" si="0"/>
        <v>2022</v>
      </c>
    </row>
    <row r="5" spans="1:5">
      <c r="A5" s="4">
        <v>44562</v>
      </c>
      <c r="B5" s="3">
        <v>5672.8</v>
      </c>
      <c r="C5" t="s">
        <v>3</v>
      </c>
      <c r="D5" t="s">
        <v>20</v>
      </c>
      <c r="E5">
        <f t="shared" si="0"/>
        <v>2022</v>
      </c>
    </row>
    <row r="6" spans="1:5">
      <c r="A6" s="4">
        <v>44562</v>
      </c>
      <c r="B6" s="3">
        <v>0</v>
      </c>
      <c r="C6" t="s">
        <v>4</v>
      </c>
      <c r="D6" t="s">
        <v>19</v>
      </c>
      <c r="E6">
        <f t="shared" si="0"/>
        <v>2022</v>
      </c>
    </row>
    <row r="7" spans="1:5">
      <c r="A7" s="4">
        <v>44562</v>
      </c>
      <c r="B7" s="3">
        <v>0</v>
      </c>
      <c r="C7" t="s">
        <v>4</v>
      </c>
      <c r="D7" t="s">
        <v>20</v>
      </c>
      <c r="E7">
        <f t="shared" si="0"/>
        <v>2022</v>
      </c>
    </row>
    <row r="8" spans="1:5">
      <c r="A8" s="4">
        <v>44562</v>
      </c>
      <c r="B8" s="3">
        <v>10045.700000000001</v>
      </c>
      <c r="C8" t="s">
        <v>5</v>
      </c>
      <c r="D8" t="s">
        <v>19</v>
      </c>
      <c r="E8">
        <f t="shared" si="0"/>
        <v>2022</v>
      </c>
    </row>
    <row r="9" spans="1:5">
      <c r="A9" s="4">
        <v>44562</v>
      </c>
      <c r="B9" s="3">
        <v>38629.9</v>
      </c>
      <c r="C9" t="s">
        <v>5</v>
      </c>
      <c r="D9" t="s">
        <v>20</v>
      </c>
      <c r="E9">
        <f t="shared" si="0"/>
        <v>2022</v>
      </c>
    </row>
    <row r="10" spans="1:5">
      <c r="A10" s="4">
        <v>44562</v>
      </c>
      <c r="B10" s="3">
        <v>32801.699999999997</v>
      </c>
      <c r="C10" t="s">
        <v>6</v>
      </c>
      <c r="D10" t="s">
        <v>19</v>
      </c>
      <c r="E10">
        <f t="shared" si="0"/>
        <v>2022</v>
      </c>
    </row>
    <row r="11" spans="1:5">
      <c r="A11" s="4">
        <v>44562</v>
      </c>
      <c r="B11" s="3">
        <v>410280.2</v>
      </c>
      <c r="C11" t="s">
        <v>6</v>
      </c>
      <c r="D11" t="s">
        <v>20</v>
      </c>
      <c r="E11">
        <f t="shared" si="0"/>
        <v>2022</v>
      </c>
    </row>
    <row r="12" spans="1:5">
      <c r="A12" s="4">
        <v>44562</v>
      </c>
      <c r="B12" s="3">
        <v>237276.4</v>
      </c>
      <c r="C12" t="s">
        <v>7</v>
      </c>
      <c r="D12" t="s">
        <v>19</v>
      </c>
      <c r="E12">
        <f t="shared" si="0"/>
        <v>2022</v>
      </c>
    </row>
    <row r="13" spans="1:5">
      <c r="A13" s="4">
        <v>44562</v>
      </c>
      <c r="B13" s="3">
        <v>1203956.7</v>
      </c>
      <c r="C13" t="s">
        <v>7</v>
      </c>
      <c r="D13" t="s">
        <v>20</v>
      </c>
      <c r="E13">
        <f t="shared" si="0"/>
        <v>2022</v>
      </c>
    </row>
    <row r="14" spans="1:5">
      <c r="A14" s="4">
        <v>44562</v>
      </c>
      <c r="B14" s="3">
        <v>907</v>
      </c>
      <c r="C14" t="s">
        <v>8</v>
      </c>
      <c r="D14" t="s">
        <v>19</v>
      </c>
      <c r="E14">
        <f t="shared" si="0"/>
        <v>2022</v>
      </c>
    </row>
    <row r="15" spans="1:5">
      <c r="A15" s="4">
        <v>44562</v>
      </c>
      <c r="B15" s="3">
        <v>35189.1</v>
      </c>
      <c r="C15" t="s">
        <v>8</v>
      </c>
      <c r="D15" t="s">
        <v>20</v>
      </c>
      <c r="E15">
        <f t="shared" si="0"/>
        <v>2022</v>
      </c>
    </row>
    <row r="16" spans="1:5">
      <c r="A16" s="4">
        <v>44562</v>
      </c>
      <c r="B16" s="3">
        <v>326685.2</v>
      </c>
      <c r="C16" t="s">
        <v>9</v>
      </c>
      <c r="D16" t="s">
        <v>19</v>
      </c>
      <c r="E16">
        <f t="shared" si="0"/>
        <v>2022</v>
      </c>
    </row>
    <row r="17" spans="1:5">
      <c r="A17" s="4">
        <v>44562</v>
      </c>
      <c r="B17" s="3">
        <v>1656368.2</v>
      </c>
      <c r="C17" t="s">
        <v>9</v>
      </c>
      <c r="D17" t="s">
        <v>20</v>
      </c>
      <c r="E17">
        <f t="shared" si="0"/>
        <v>2022</v>
      </c>
    </row>
    <row r="18" spans="1:5">
      <c r="A18" s="4">
        <v>44593</v>
      </c>
      <c r="B18" s="3">
        <v>38377.300000000003</v>
      </c>
      <c r="C18" t="s">
        <v>2</v>
      </c>
      <c r="D18" t="s">
        <v>19</v>
      </c>
      <c r="E18">
        <f t="shared" si="0"/>
        <v>2022</v>
      </c>
    </row>
    <row r="19" spans="1:5">
      <c r="A19" s="4">
        <v>44593</v>
      </c>
      <c r="B19" s="3">
        <v>8</v>
      </c>
      <c r="C19" t="s">
        <v>2</v>
      </c>
      <c r="D19" t="s">
        <v>20</v>
      </c>
      <c r="E19">
        <f t="shared" si="0"/>
        <v>2022</v>
      </c>
    </row>
    <row r="20" spans="1:5">
      <c r="A20" s="4">
        <v>44593</v>
      </c>
      <c r="B20" s="3">
        <v>5245.6</v>
      </c>
      <c r="C20" t="s">
        <v>3</v>
      </c>
      <c r="D20" t="s">
        <v>19</v>
      </c>
      <c r="E20">
        <f t="shared" si="0"/>
        <v>2022</v>
      </c>
    </row>
    <row r="21" spans="1:5">
      <c r="A21" s="4">
        <v>44593</v>
      </c>
      <c r="B21" s="3">
        <v>5905</v>
      </c>
      <c r="C21" t="s">
        <v>3</v>
      </c>
      <c r="D21" t="s">
        <v>20</v>
      </c>
      <c r="E21">
        <f t="shared" si="0"/>
        <v>2022</v>
      </c>
    </row>
    <row r="22" spans="1:5">
      <c r="A22" s="4">
        <v>44593</v>
      </c>
      <c r="B22" s="3">
        <v>0</v>
      </c>
      <c r="C22" t="s">
        <v>4</v>
      </c>
      <c r="D22" t="s">
        <v>19</v>
      </c>
      <c r="E22">
        <f t="shared" si="0"/>
        <v>2022</v>
      </c>
    </row>
    <row r="23" spans="1:5">
      <c r="A23" s="4">
        <v>44593</v>
      </c>
      <c r="B23" s="3">
        <v>0</v>
      </c>
      <c r="C23" t="s">
        <v>4</v>
      </c>
      <c r="D23" t="s">
        <v>20</v>
      </c>
      <c r="E23">
        <f t="shared" si="0"/>
        <v>2022</v>
      </c>
    </row>
    <row r="24" spans="1:5">
      <c r="A24" s="4">
        <v>44593</v>
      </c>
      <c r="B24" s="3">
        <v>16902.099999999999</v>
      </c>
      <c r="C24" t="s">
        <v>5</v>
      </c>
      <c r="D24" t="s">
        <v>19</v>
      </c>
      <c r="E24">
        <f t="shared" si="0"/>
        <v>2022</v>
      </c>
    </row>
    <row r="25" spans="1:5">
      <c r="A25" s="4">
        <v>44593</v>
      </c>
      <c r="B25" s="3">
        <v>38203.9</v>
      </c>
      <c r="C25" t="s">
        <v>5</v>
      </c>
      <c r="D25" t="s">
        <v>20</v>
      </c>
      <c r="E25">
        <f t="shared" si="0"/>
        <v>2022</v>
      </c>
    </row>
    <row r="26" spans="1:5">
      <c r="A26" s="4">
        <v>44593</v>
      </c>
      <c r="B26" s="3">
        <v>33473.699999999997</v>
      </c>
      <c r="C26" t="s">
        <v>6</v>
      </c>
      <c r="D26" t="s">
        <v>19</v>
      </c>
      <c r="E26">
        <f t="shared" si="0"/>
        <v>2022</v>
      </c>
    </row>
    <row r="27" spans="1:5">
      <c r="A27" s="4">
        <v>44593</v>
      </c>
      <c r="B27" s="3">
        <v>411422.2</v>
      </c>
      <c r="C27" t="s">
        <v>6</v>
      </c>
      <c r="D27" t="s">
        <v>20</v>
      </c>
      <c r="E27">
        <f t="shared" si="0"/>
        <v>2022</v>
      </c>
    </row>
    <row r="28" spans="1:5">
      <c r="A28" s="4">
        <v>44593</v>
      </c>
      <c r="B28" s="3">
        <v>232830.3</v>
      </c>
      <c r="C28" t="s">
        <v>7</v>
      </c>
      <c r="D28" t="s">
        <v>19</v>
      </c>
      <c r="E28">
        <f t="shared" si="0"/>
        <v>2022</v>
      </c>
    </row>
    <row r="29" spans="1:5">
      <c r="A29" s="4">
        <v>44593</v>
      </c>
      <c r="B29" s="3">
        <v>1211287.7</v>
      </c>
      <c r="C29" t="s">
        <v>7</v>
      </c>
      <c r="D29" t="s">
        <v>20</v>
      </c>
      <c r="E29">
        <f t="shared" si="0"/>
        <v>2022</v>
      </c>
    </row>
    <row r="30" spans="1:5">
      <c r="A30" s="4">
        <v>44593</v>
      </c>
      <c r="B30" s="3">
        <v>814.5</v>
      </c>
      <c r="C30" t="s">
        <v>8</v>
      </c>
      <c r="D30" t="s">
        <v>19</v>
      </c>
      <c r="E30">
        <f t="shared" si="0"/>
        <v>2022</v>
      </c>
    </row>
    <row r="31" spans="1:5">
      <c r="A31" s="4">
        <v>44593</v>
      </c>
      <c r="B31" s="3">
        <v>32920.699999999997</v>
      </c>
      <c r="C31" t="s">
        <v>8</v>
      </c>
      <c r="D31" t="s">
        <v>20</v>
      </c>
      <c r="E31">
        <f t="shared" si="0"/>
        <v>2022</v>
      </c>
    </row>
    <row r="32" spans="1:5">
      <c r="A32" s="4">
        <v>44593</v>
      </c>
      <c r="B32" s="3">
        <v>329656.7</v>
      </c>
      <c r="C32" t="s">
        <v>9</v>
      </c>
      <c r="D32" t="s">
        <v>19</v>
      </c>
      <c r="E32">
        <f t="shared" si="0"/>
        <v>2022</v>
      </c>
    </row>
    <row r="33" spans="1:5">
      <c r="A33" s="4">
        <v>44593</v>
      </c>
      <c r="B33" s="3">
        <v>1696731.7</v>
      </c>
      <c r="C33" t="s">
        <v>9</v>
      </c>
      <c r="D33" t="s">
        <v>20</v>
      </c>
      <c r="E33">
        <f t="shared" si="0"/>
        <v>2022</v>
      </c>
    </row>
    <row r="34" spans="1:5">
      <c r="A34" s="4">
        <v>44621</v>
      </c>
      <c r="B34" s="3">
        <v>56304.3</v>
      </c>
      <c r="C34" t="s">
        <v>2</v>
      </c>
      <c r="D34" t="s">
        <v>19</v>
      </c>
      <c r="E34">
        <f t="shared" si="0"/>
        <v>2022</v>
      </c>
    </row>
    <row r="35" spans="1:5">
      <c r="A35" s="4">
        <v>44621</v>
      </c>
      <c r="B35" s="3">
        <v>9.4</v>
      </c>
      <c r="C35" t="s">
        <v>2</v>
      </c>
      <c r="D35" t="s">
        <v>20</v>
      </c>
      <c r="E35">
        <f t="shared" si="0"/>
        <v>2022</v>
      </c>
    </row>
    <row r="36" spans="1:5">
      <c r="A36" s="4">
        <v>44621</v>
      </c>
      <c r="B36" s="3">
        <v>5867.6</v>
      </c>
      <c r="C36" t="s">
        <v>3</v>
      </c>
      <c r="D36" t="s">
        <v>19</v>
      </c>
      <c r="E36">
        <f t="shared" si="0"/>
        <v>2022</v>
      </c>
    </row>
    <row r="37" spans="1:5">
      <c r="A37" s="4">
        <v>44621</v>
      </c>
      <c r="B37" s="3">
        <v>6744.5</v>
      </c>
      <c r="C37" t="s">
        <v>3</v>
      </c>
      <c r="D37" t="s">
        <v>20</v>
      </c>
      <c r="E37">
        <f t="shared" si="0"/>
        <v>2022</v>
      </c>
    </row>
    <row r="38" spans="1:5">
      <c r="A38" s="4">
        <v>44621</v>
      </c>
      <c r="B38" s="3">
        <v>0</v>
      </c>
      <c r="C38" t="s">
        <v>4</v>
      </c>
      <c r="D38" t="s">
        <v>19</v>
      </c>
      <c r="E38">
        <f t="shared" si="0"/>
        <v>2022</v>
      </c>
    </row>
    <row r="39" spans="1:5">
      <c r="A39" s="4">
        <v>44621</v>
      </c>
      <c r="B39" s="3">
        <v>0</v>
      </c>
      <c r="C39" t="s">
        <v>4</v>
      </c>
      <c r="D39" t="s">
        <v>20</v>
      </c>
      <c r="E39">
        <f t="shared" si="0"/>
        <v>2022</v>
      </c>
    </row>
    <row r="40" spans="1:5">
      <c r="A40" s="4">
        <v>44621</v>
      </c>
      <c r="B40" s="3">
        <v>13325.2</v>
      </c>
      <c r="C40" t="s">
        <v>5</v>
      </c>
      <c r="D40" t="s">
        <v>19</v>
      </c>
      <c r="E40">
        <f t="shared" si="0"/>
        <v>2022</v>
      </c>
    </row>
    <row r="41" spans="1:5">
      <c r="A41" s="4">
        <v>44621</v>
      </c>
      <c r="B41" s="3">
        <v>42331.5</v>
      </c>
      <c r="C41" t="s">
        <v>5</v>
      </c>
      <c r="D41" t="s">
        <v>20</v>
      </c>
      <c r="E41">
        <f t="shared" si="0"/>
        <v>2022</v>
      </c>
    </row>
    <row r="42" spans="1:5">
      <c r="A42" s="4">
        <v>44621</v>
      </c>
      <c r="B42" s="3">
        <v>32398.1</v>
      </c>
      <c r="C42" t="s">
        <v>6</v>
      </c>
      <c r="D42" t="s">
        <v>19</v>
      </c>
      <c r="E42">
        <f t="shared" si="0"/>
        <v>2022</v>
      </c>
    </row>
    <row r="43" spans="1:5">
      <c r="A43" s="4">
        <v>44621</v>
      </c>
      <c r="B43" s="3">
        <v>465709.7</v>
      </c>
      <c r="C43" t="s">
        <v>6</v>
      </c>
      <c r="D43" t="s">
        <v>20</v>
      </c>
      <c r="E43">
        <f t="shared" si="0"/>
        <v>2022</v>
      </c>
    </row>
    <row r="44" spans="1:5">
      <c r="A44" s="4">
        <v>44621</v>
      </c>
      <c r="B44" s="3">
        <v>223763.5</v>
      </c>
      <c r="C44" t="s">
        <v>7</v>
      </c>
      <c r="D44" t="s">
        <v>19</v>
      </c>
      <c r="E44">
        <f t="shared" si="0"/>
        <v>2022</v>
      </c>
    </row>
    <row r="45" spans="1:5">
      <c r="A45" s="4">
        <v>44621</v>
      </c>
      <c r="B45" s="3">
        <v>1402208.3</v>
      </c>
      <c r="C45" t="s">
        <v>7</v>
      </c>
      <c r="D45" t="s">
        <v>20</v>
      </c>
      <c r="E45">
        <f t="shared" si="0"/>
        <v>2022</v>
      </c>
    </row>
    <row r="46" spans="1:5">
      <c r="A46" s="4">
        <v>44621</v>
      </c>
      <c r="B46" s="3">
        <v>858.5</v>
      </c>
      <c r="C46" t="s">
        <v>8</v>
      </c>
      <c r="D46" t="s">
        <v>19</v>
      </c>
      <c r="E46">
        <f t="shared" si="0"/>
        <v>2022</v>
      </c>
    </row>
    <row r="47" spans="1:5">
      <c r="A47" s="4">
        <v>44621</v>
      </c>
      <c r="B47" s="3">
        <v>40758</v>
      </c>
      <c r="C47" t="s">
        <v>8</v>
      </c>
      <c r="D47" t="s">
        <v>20</v>
      </c>
      <c r="E47">
        <f t="shared" si="0"/>
        <v>2022</v>
      </c>
    </row>
    <row r="48" spans="1:5">
      <c r="A48" s="4">
        <v>44621</v>
      </c>
      <c r="B48" s="3">
        <v>345585.6</v>
      </c>
      <c r="C48" t="s">
        <v>9</v>
      </c>
      <c r="D48" t="s">
        <v>19</v>
      </c>
      <c r="E48">
        <f t="shared" si="0"/>
        <v>2022</v>
      </c>
    </row>
    <row r="49" spans="1:5">
      <c r="A49" s="4">
        <v>44621</v>
      </c>
      <c r="B49" s="3">
        <v>2077152</v>
      </c>
      <c r="C49" t="s">
        <v>9</v>
      </c>
      <c r="D49" t="s">
        <v>20</v>
      </c>
      <c r="E49">
        <f t="shared" si="0"/>
        <v>2022</v>
      </c>
    </row>
    <row r="50" spans="1:5">
      <c r="A50" s="4">
        <v>44652</v>
      </c>
      <c r="B50" s="3">
        <v>41862.699999999997</v>
      </c>
      <c r="C50" t="s">
        <v>2</v>
      </c>
      <c r="D50" t="s">
        <v>19</v>
      </c>
      <c r="E50">
        <f t="shared" si="0"/>
        <v>2022</v>
      </c>
    </row>
    <row r="51" spans="1:5">
      <c r="A51" s="4">
        <v>44652</v>
      </c>
      <c r="B51" s="3">
        <v>10.7</v>
      </c>
      <c r="C51" t="s">
        <v>2</v>
      </c>
      <c r="D51" t="s">
        <v>20</v>
      </c>
      <c r="E51">
        <f t="shared" si="0"/>
        <v>2022</v>
      </c>
    </row>
    <row r="52" spans="1:5">
      <c r="A52" s="4">
        <v>44652</v>
      </c>
      <c r="B52" s="3">
        <v>6996</v>
      </c>
      <c r="C52" t="s">
        <v>3</v>
      </c>
      <c r="D52" t="s">
        <v>19</v>
      </c>
      <c r="E52">
        <f t="shared" si="0"/>
        <v>2022</v>
      </c>
    </row>
    <row r="53" spans="1:5">
      <c r="A53" s="4">
        <v>44652</v>
      </c>
      <c r="B53" s="3">
        <v>6936.6</v>
      </c>
      <c r="C53" t="s">
        <v>3</v>
      </c>
      <c r="D53" t="s">
        <v>20</v>
      </c>
      <c r="E53">
        <f t="shared" si="0"/>
        <v>2022</v>
      </c>
    </row>
    <row r="54" spans="1:5">
      <c r="A54" s="4">
        <v>44652</v>
      </c>
      <c r="B54" s="3">
        <v>0</v>
      </c>
      <c r="C54" t="s">
        <v>4</v>
      </c>
      <c r="D54" t="s">
        <v>19</v>
      </c>
      <c r="E54">
        <f t="shared" si="0"/>
        <v>2022</v>
      </c>
    </row>
    <row r="55" spans="1:5">
      <c r="A55" s="4">
        <v>44652</v>
      </c>
      <c r="B55" s="3">
        <v>0</v>
      </c>
      <c r="C55" t="s">
        <v>4</v>
      </c>
      <c r="D55" t="s">
        <v>20</v>
      </c>
      <c r="E55">
        <f t="shared" si="0"/>
        <v>2022</v>
      </c>
    </row>
    <row r="56" spans="1:5">
      <c r="A56" s="4">
        <v>44652</v>
      </c>
      <c r="B56" s="3">
        <v>20478</v>
      </c>
      <c r="C56" t="s">
        <v>5</v>
      </c>
      <c r="D56" t="s">
        <v>19</v>
      </c>
      <c r="E56">
        <f t="shared" si="0"/>
        <v>2022</v>
      </c>
    </row>
    <row r="57" spans="1:5">
      <c r="A57" s="4">
        <v>44652</v>
      </c>
      <c r="B57" s="3">
        <v>44441.9</v>
      </c>
      <c r="C57" t="s">
        <v>5</v>
      </c>
      <c r="D57" t="s">
        <v>20</v>
      </c>
      <c r="E57">
        <f t="shared" si="0"/>
        <v>2022</v>
      </c>
    </row>
    <row r="58" spans="1:5">
      <c r="A58" s="4">
        <v>44652</v>
      </c>
      <c r="B58" s="3">
        <v>39936.5</v>
      </c>
      <c r="C58" t="s">
        <v>6</v>
      </c>
      <c r="D58" t="s">
        <v>19</v>
      </c>
      <c r="E58">
        <f t="shared" si="0"/>
        <v>2022</v>
      </c>
    </row>
    <row r="59" spans="1:5">
      <c r="A59" s="4">
        <v>44652</v>
      </c>
      <c r="B59" s="3">
        <v>465354.4</v>
      </c>
      <c r="C59" t="s">
        <v>6</v>
      </c>
      <c r="D59" t="s">
        <v>20</v>
      </c>
      <c r="E59">
        <f t="shared" si="0"/>
        <v>2022</v>
      </c>
    </row>
    <row r="60" spans="1:5">
      <c r="A60" s="4">
        <v>44652</v>
      </c>
      <c r="B60" s="3">
        <v>170685.4</v>
      </c>
      <c r="C60" t="s">
        <v>7</v>
      </c>
      <c r="D60" t="s">
        <v>19</v>
      </c>
      <c r="E60">
        <f t="shared" si="0"/>
        <v>2022</v>
      </c>
    </row>
    <row r="61" spans="1:5">
      <c r="A61" s="4">
        <v>44652</v>
      </c>
      <c r="B61" s="3">
        <v>1400785.6</v>
      </c>
      <c r="C61" t="s">
        <v>7</v>
      </c>
      <c r="D61" t="s">
        <v>20</v>
      </c>
      <c r="E61">
        <f t="shared" si="0"/>
        <v>2022</v>
      </c>
    </row>
    <row r="62" spans="1:5">
      <c r="A62" s="4">
        <v>44652</v>
      </c>
      <c r="B62" s="3">
        <v>1333.1</v>
      </c>
      <c r="C62" t="s">
        <v>8</v>
      </c>
      <c r="D62" t="s">
        <v>19</v>
      </c>
      <c r="E62">
        <f t="shared" si="0"/>
        <v>2022</v>
      </c>
    </row>
    <row r="63" spans="1:5">
      <c r="A63" s="4">
        <v>44652</v>
      </c>
      <c r="B63" s="3">
        <v>40089.5</v>
      </c>
      <c r="C63" t="s">
        <v>8</v>
      </c>
      <c r="D63" t="s">
        <v>20</v>
      </c>
      <c r="E63">
        <f t="shared" si="0"/>
        <v>2022</v>
      </c>
    </row>
    <row r="64" spans="1:5">
      <c r="A64" s="4">
        <v>44652</v>
      </c>
      <c r="B64" s="3">
        <v>372333</v>
      </c>
      <c r="C64" t="s">
        <v>9</v>
      </c>
      <c r="D64" t="s">
        <v>19</v>
      </c>
      <c r="E64">
        <f t="shared" si="0"/>
        <v>2022</v>
      </c>
    </row>
    <row r="65" spans="1:5">
      <c r="A65" s="4">
        <v>44652</v>
      </c>
      <c r="B65" s="3">
        <v>2043950.7</v>
      </c>
      <c r="C65" t="s">
        <v>9</v>
      </c>
      <c r="D65" t="s">
        <v>20</v>
      </c>
      <c r="E65">
        <f t="shared" si="0"/>
        <v>2022</v>
      </c>
    </row>
    <row r="66" spans="1:5">
      <c r="A66" s="4">
        <v>44682</v>
      </c>
      <c r="B66" s="3">
        <v>48436.3</v>
      </c>
      <c r="C66" t="s">
        <v>2</v>
      </c>
      <c r="D66" t="s">
        <v>19</v>
      </c>
      <c r="E66">
        <f t="shared" si="0"/>
        <v>2022</v>
      </c>
    </row>
    <row r="67" spans="1:5">
      <c r="A67" s="4">
        <v>44682</v>
      </c>
      <c r="B67" s="3">
        <v>10.9</v>
      </c>
      <c r="C67" t="s">
        <v>2</v>
      </c>
      <c r="D67" t="s">
        <v>20</v>
      </c>
      <c r="E67">
        <f t="shared" ref="E67:E130" si="1">YEAR(A67)</f>
        <v>2022</v>
      </c>
    </row>
    <row r="68" spans="1:5">
      <c r="A68" s="4">
        <v>44682</v>
      </c>
      <c r="B68" s="3">
        <v>7433.7</v>
      </c>
      <c r="C68" t="s">
        <v>3</v>
      </c>
      <c r="D68" t="s">
        <v>19</v>
      </c>
      <c r="E68">
        <f t="shared" si="1"/>
        <v>2022</v>
      </c>
    </row>
    <row r="69" spans="1:5">
      <c r="A69" s="4">
        <v>44682</v>
      </c>
      <c r="B69" s="3">
        <v>7564.6</v>
      </c>
      <c r="C69" t="s">
        <v>3</v>
      </c>
      <c r="D69" t="s">
        <v>20</v>
      </c>
      <c r="E69">
        <f t="shared" si="1"/>
        <v>2022</v>
      </c>
    </row>
    <row r="70" spans="1:5">
      <c r="A70" s="4">
        <v>44682</v>
      </c>
      <c r="B70" s="3">
        <v>0</v>
      </c>
      <c r="C70" t="s">
        <v>4</v>
      </c>
      <c r="D70" t="s">
        <v>19</v>
      </c>
      <c r="E70">
        <f t="shared" si="1"/>
        <v>2022</v>
      </c>
    </row>
    <row r="71" spans="1:5">
      <c r="A71" s="4">
        <v>44682</v>
      </c>
      <c r="B71" s="3">
        <v>0</v>
      </c>
      <c r="C71" t="s">
        <v>4</v>
      </c>
      <c r="D71" t="s">
        <v>20</v>
      </c>
      <c r="E71">
        <f t="shared" si="1"/>
        <v>2022</v>
      </c>
    </row>
    <row r="72" spans="1:5">
      <c r="A72" s="4">
        <v>44682</v>
      </c>
      <c r="B72" s="3">
        <v>26712.2</v>
      </c>
      <c r="C72" t="s">
        <v>5</v>
      </c>
      <c r="D72" t="s">
        <v>19</v>
      </c>
      <c r="E72">
        <f t="shared" si="1"/>
        <v>2022</v>
      </c>
    </row>
    <row r="73" spans="1:5">
      <c r="A73" s="4">
        <v>44682</v>
      </c>
      <c r="B73" s="3">
        <v>47146.9</v>
      </c>
      <c r="C73" t="s">
        <v>5</v>
      </c>
      <c r="D73" t="s">
        <v>20</v>
      </c>
      <c r="E73">
        <f t="shared" si="1"/>
        <v>2022</v>
      </c>
    </row>
    <row r="74" spans="1:5">
      <c r="A74" s="4">
        <v>44682</v>
      </c>
      <c r="B74" s="3">
        <v>49707.6</v>
      </c>
      <c r="C74" t="s">
        <v>6</v>
      </c>
      <c r="D74" t="s">
        <v>19</v>
      </c>
      <c r="E74">
        <f t="shared" si="1"/>
        <v>2022</v>
      </c>
    </row>
    <row r="75" spans="1:5">
      <c r="A75" s="4">
        <v>44682</v>
      </c>
      <c r="B75" s="3">
        <v>498767.1</v>
      </c>
      <c r="C75" t="s">
        <v>6</v>
      </c>
      <c r="D75" t="s">
        <v>20</v>
      </c>
      <c r="E75">
        <f t="shared" si="1"/>
        <v>2022</v>
      </c>
    </row>
    <row r="76" spans="1:5">
      <c r="A76" s="4">
        <v>44682</v>
      </c>
      <c r="B76" s="3">
        <v>155346.4</v>
      </c>
      <c r="C76" t="s">
        <v>7</v>
      </c>
      <c r="D76" t="s">
        <v>19</v>
      </c>
      <c r="E76">
        <f t="shared" si="1"/>
        <v>2022</v>
      </c>
    </row>
    <row r="77" spans="1:5">
      <c r="A77" s="4">
        <v>44682</v>
      </c>
      <c r="B77" s="3">
        <v>1496917.2</v>
      </c>
      <c r="C77" t="s">
        <v>7</v>
      </c>
      <c r="D77" t="s">
        <v>20</v>
      </c>
      <c r="E77">
        <f t="shared" si="1"/>
        <v>2022</v>
      </c>
    </row>
    <row r="78" spans="1:5">
      <c r="A78" s="4">
        <v>44682</v>
      </c>
      <c r="B78" s="3">
        <v>1080</v>
      </c>
      <c r="C78" t="s">
        <v>8</v>
      </c>
      <c r="D78" t="s">
        <v>19</v>
      </c>
      <c r="E78">
        <f t="shared" si="1"/>
        <v>2022</v>
      </c>
    </row>
    <row r="79" spans="1:5">
      <c r="A79" s="4">
        <v>44682</v>
      </c>
      <c r="B79" s="3">
        <v>40370.6</v>
      </c>
      <c r="C79" t="s">
        <v>8</v>
      </c>
      <c r="D79" t="s">
        <v>20</v>
      </c>
      <c r="E79">
        <f t="shared" si="1"/>
        <v>2022</v>
      </c>
    </row>
    <row r="80" spans="1:5">
      <c r="A80" s="4">
        <v>44682</v>
      </c>
      <c r="B80" s="3">
        <v>437766.2</v>
      </c>
      <c r="C80" t="s">
        <v>9</v>
      </c>
      <c r="D80" t="s">
        <v>19</v>
      </c>
      <c r="E80">
        <f t="shared" si="1"/>
        <v>2022</v>
      </c>
    </row>
    <row r="81" spans="1:5">
      <c r="A81" s="4">
        <v>44682</v>
      </c>
      <c r="B81" s="3">
        <v>2062883.3</v>
      </c>
      <c r="C81" t="s">
        <v>9</v>
      </c>
      <c r="D81" t="s">
        <v>20</v>
      </c>
      <c r="E81">
        <f t="shared" si="1"/>
        <v>2022</v>
      </c>
    </row>
    <row r="82" spans="1:5">
      <c r="A82" s="4">
        <v>44713</v>
      </c>
      <c r="B82" s="3">
        <v>44246.9</v>
      </c>
      <c r="C82" t="s">
        <v>2</v>
      </c>
      <c r="D82" t="s">
        <v>19</v>
      </c>
      <c r="E82">
        <f t="shared" si="1"/>
        <v>2022</v>
      </c>
    </row>
    <row r="83" spans="1:5">
      <c r="A83" s="4">
        <v>44713</v>
      </c>
      <c r="B83" s="3">
        <v>10.9</v>
      </c>
      <c r="C83" t="s">
        <v>2</v>
      </c>
      <c r="D83" t="s">
        <v>20</v>
      </c>
      <c r="E83">
        <f t="shared" si="1"/>
        <v>2022</v>
      </c>
    </row>
    <row r="84" spans="1:5">
      <c r="A84" s="4">
        <v>44713</v>
      </c>
      <c r="B84" s="3">
        <v>6113.9</v>
      </c>
      <c r="C84" t="s">
        <v>3</v>
      </c>
      <c r="D84" t="s">
        <v>19</v>
      </c>
      <c r="E84">
        <f t="shared" si="1"/>
        <v>2022</v>
      </c>
    </row>
    <row r="85" spans="1:5">
      <c r="A85" s="4">
        <v>44713</v>
      </c>
      <c r="B85" s="3">
        <v>7431.5</v>
      </c>
      <c r="C85" t="s">
        <v>3</v>
      </c>
      <c r="D85" t="s">
        <v>20</v>
      </c>
      <c r="E85">
        <f t="shared" si="1"/>
        <v>2022</v>
      </c>
    </row>
    <row r="86" spans="1:5">
      <c r="A86" s="4">
        <v>44713</v>
      </c>
      <c r="B86" s="3">
        <v>0</v>
      </c>
      <c r="C86" t="s">
        <v>4</v>
      </c>
      <c r="D86" t="s">
        <v>19</v>
      </c>
      <c r="E86">
        <f t="shared" si="1"/>
        <v>2022</v>
      </c>
    </row>
    <row r="87" spans="1:5">
      <c r="A87" s="4">
        <v>44713</v>
      </c>
      <c r="B87" s="3">
        <v>0</v>
      </c>
      <c r="C87" t="s">
        <v>4</v>
      </c>
      <c r="D87" t="s">
        <v>20</v>
      </c>
      <c r="E87">
        <f t="shared" si="1"/>
        <v>2022</v>
      </c>
    </row>
    <row r="88" spans="1:5">
      <c r="A88" s="4">
        <v>44713</v>
      </c>
      <c r="B88" s="3">
        <v>16994.900000000001</v>
      </c>
      <c r="C88" t="s">
        <v>5</v>
      </c>
      <c r="D88" t="s">
        <v>19</v>
      </c>
      <c r="E88">
        <f t="shared" si="1"/>
        <v>2022</v>
      </c>
    </row>
    <row r="89" spans="1:5">
      <c r="A89" s="4">
        <v>44713</v>
      </c>
      <c r="B89" s="3">
        <v>51278.400000000001</v>
      </c>
      <c r="C89" t="s">
        <v>5</v>
      </c>
      <c r="D89" t="s">
        <v>20</v>
      </c>
      <c r="E89">
        <f t="shared" si="1"/>
        <v>2022</v>
      </c>
    </row>
    <row r="90" spans="1:5">
      <c r="A90" s="4">
        <v>44713</v>
      </c>
      <c r="B90" s="3">
        <v>34846.300000000003</v>
      </c>
      <c r="C90" t="s">
        <v>6</v>
      </c>
      <c r="D90" t="s">
        <v>19</v>
      </c>
      <c r="E90">
        <f t="shared" si="1"/>
        <v>2022</v>
      </c>
    </row>
    <row r="91" spans="1:5">
      <c r="A91" s="4">
        <v>44713</v>
      </c>
      <c r="B91" s="3">
        <v>496806</v>
      </c>
      <c r="C91" t="s">
        <v>6</v>
      </c>
      <c r="D91" t="s">
        <v>20</v>
      </c>
      <c r="E91">
        <f t="shared" si="1"/>
        <v>2022</v>
      </c>
    </row>
    <row r="92" spans="1:5">
      <c r="A92" s="4">
        <v>44713</v>
      </c>
      <c r="B92" s="3">
        <v>132453.6</v>
      </c>
      <c r="C92" t="s">
        <v>7</v>
      </c>
      <c r="D92" t="s">
        <v>19</v>
      </c>
      <c r="E92">
        <f t="shared" si="1"/>
        <v>2022</v>
      </c>
    </row>
    <row r="93" spans="1:5">
      <c r="A93" s="4">
        <v>44713</v>
      </c>
      <c r="B93" s="3">
        <v>1502003.7</v>
      </c>
      <c r="C93" t="s">
        <v>7</v>
      </c>
      <c r="D93" t="s">
        <v>20</v>
      </c>
      <c r="E93">
        <f t="shared" si="1"/>
        <v>2022</v>
      </c>
    </row>
    <row r="94" spans="1:5">
      <c r="A94" s="4">
        <v>44713</v>
      </c>
      <c r="B94" s="3">
        <v>895.3</v>
      </c>
      <c r="C94" t="s">
        <v>8</v>
      </c>
      <c r="D94" t="s">
        <v>19</v>
      </c>
      <c r="E94">
        <f t="shared" si="1"/>
        <v>2022</v>
      </c>
    </row>
    <row r="95" spans="1:5">
      <c r="A95" s="4">
        <v>44713</v>
      </c>
      <c r="B95" s="3">
        <v>40168.199999999997</v>
      </c>
      <c r="C95" t="s">
        <v>8</v>
      </c>
      <c r="D95" t="s">
        <v>20</v>
      </c>
      <c r="E95">
        <f t="shared" si="1"/>
        <v>2022</v>
      </c>
    </row>
    <row r="96" spans="1:5">
      <c r="A96" s="4">
        <v>44713</v>
      </c>
      <c r="B96" s="3">
        <v>323681.2</v>
      </c>
      <c r="C96" t="s">
        <v>9</v>
      </c>
      <c r="D96" t="s">
        <v>19</v>
      </c>
      <c r="E96">
        <f t="shared" si="1"/>
        <v>2022</v>
      </c>
    </row>
    <row r="97" spans="1:5">
      <c r="A97" s="4">
        <v>44713</v>
      </c>
      <c r="B97" s="3">
        <v>2014409.1</v>
      </c>
      <c r="C97" t="s">
        <v>9</v>
      </c>
      <c r="D97" t="s">
        <v>20</v>
      </c>
      <c r="E97">
        <f t="shared" si="1"/>
        <v>2022</v>
      </c>
    </row>
    <row r="98" spans="1:5">
      <c r="A98" s="4">
        <v>44743</v>
      </c>
      <c r="B98" s="3">
        <v>56400.800000000003</v>
      </c>
      <c r="C98" t="s">
        <v>2</v>
      </c>
      <c r="D98" t="s">
        <v>19</v>
      </c>
      <c r="E98">
        <f t="shared" si="1"/>
        <v>2022</v>
      </c>
    </row>
    <row r="99" spans="1:5">
      <c r="A99" s="4">
        <v>44743</v>
      </c>
      <c r="B99" s="3">
        <v>11.8</v>
      </c>
      <c r="C99" t="s">
        <v>2</v>
      </c>
      <c r="D99" t="s">
        <v>20</v>
      </c>
      <c r="E99">
        <f t="shared" si="1"/>
        <v>2022</v>
      </c>
    </row>
    <row r="100" spans="1:5">
      <c r="A100" s="4">
        <v>44743</v>
      </c>
      <c r="B100" s="3">
        <v>6337.4</v>
      </c>
      <c r="C100" t="s">
        <v>3</v>
      </c>
      <c r="D100" t="s">
        <v>19</v>
      </c>
      <c r="E100">
        <f t="shared" si="1"/>
        <v>2022</v>
      </c>
    </row>
    <row r="101" spans="1:5">
      <c r="A101" s="4">
        <v>44743</v>
      </c>
      <c r="B101" s="3">
        <v>7260.4</v>
      </c>
      <c r="C101" t="s">
        <v>3</v>
      </c>
      <c r="D101" t="s">
        <v>20</v>
      </c>
      <c r="E101">
        <f t="shared" si="1"/>
        <v>2022</v>
      </c>
    </row>
    <row r="102" spans="1:5">
      <c r="A102" s="4">
        <v>44743</v>
      </c>
      <c r="B102" s="3">
        <v>0</v>
      </c>
      <c r="C102" t="s">
        <v>4</v>
      </c>
      <c r="D102" t="s">
        <v>19</v>
      </c>
      <c r="E102">
        <f t="shared" si="1"/>
        <v>2022</v>
      </c>
    </row>
    <row r="103" spans="1:5">
      <c r="A103" s="4">
        <v>44743</v>
      </c>
      <c r="B103" s="3">
        <v>0</v>
      </c>
      <c r="C103" t="s">
        <v>4</v>
      </c>
      <c r="D103" t="s">
        <v>20</v>
      </c>
      <c r="E103">
        <f t="shared" si="1"/>
        <v>2022</v>
      </c>
    </row>
    <row r="104" spans="1:5">
      <c r="A104" s="4">
        <v>44743</v>
      </c>
      <c r="B104" s="3">
        <v>17072.5</v>
      </c>
      <c r="C104" t="s">
        <v>5</v>
      </c>
      <c r="D104" t="s">
        <v>19</v>
      </c>
      <c r="E104">
        <f t="shared" si="1"/>
        <v>2022</v>
      </c>
    </row>
    <row r="105" spans="1:5">
      <c r="A105" s="4">
        <v>44743</v>
      </c>
      <c r="B105" s="3">
        <v>53488.5</v>
      </c>
      <c r="C105" t="s">
        <v>5</v>
      </c>
      <c r="D105" t="s">
        <v>20</v>
      </c>
      <c r="E105">
        <f t="shared" si="1"/>
        <v>2022</v>
      </c>
    </row>
    <row r="106" spans="1:5">
      <c r="A106" s="4">
        <v>44743</v>
      </c>
      <c r="B106" s="3">
        <v>34920.699999999997</v>
      </c>
      <c r="C106" t="s">
        <v>6</v>
      </c>
      <c r="D106" t="s">
        <v>19</v>
      </c>
      <c r="E106">
        <f t="shared" si="1"/>
        <v>2022</v>
      </c>
    </row>
    <row r="107" spans="1:5">
      <c r="A107" s="4">
        <v>44743</v>
      </c>
      <c r="B107" s="3">
        <v>494987.9</v>
      </c>
      <c r="C107" t="s">
        <v>6</v>
      </c>
      <c r="D107" t="s">
        <v>20</v>
      </c>
      <c r="E107">
        <f t="shared" si="1"/>
        <v>2022</v>
      </c>
    </row>
    <row r="108" spans="1:5">
      <c r="A108" s="4">
        <v>44743</v>
      </c>
      <c r="B108" s="3">
        <v>138727.70000000001</v>
      </c>
      <c r="C108" t="s">
        <v>7</v>
      </c>
      <c r="D108" t="s">
        <v>19</v>
      </c>
      <c r="E108">
        <f t="shared" si="1"/>
        <v>2022</v>
      </c>
    </row>
    <row r="109" spans="1:5">
      <c r="A109" s="4">
        <v>44743</v>
      </c>
      <c r="B109" s="3">
        <v>1487277.3</v>
      </c>
      <c r="C109" t="s">
        <v>7</v>
      </c>
      <c r="D109" t="s">
        <v>20</v>
      </c>
      <c r="E109">
        <f t="shared" si="1"/>
        <v>2022</v>
      </c>
    </row>
    <row r="110" spans="1:5">
      <c r="A110" s="4">
        <v>44743</v>
      </c>
      <c r="B110" s="3">
        <v>877.5</v>
      </c>
      <c r="C110" t="s">
        <v>8</v>
      </c>
      <c r="D110" t="s">
        <v>19</v>
      </c>
      <c r="E110">
        <f t="shared" si="1"/>
        <v>2022</v>
      </c>
    </row>
    <row r="111" spans="1:5">
      <c r="A111" s="4">
        <v>44743</v>
      </c>
      <c r="B111" s="3">
        <v>42502.5</v>
      </c>
      <c r="C111" t="s">
        <v>8</v>
      </c>
      <c r="D111" t="s">
        <v>20</v>
      </c>
      <c r="E111">
        <f t="shared" si="1"/>
        <v>2022</v>
      </c>
    </row>
    <row r="112" spans="1:5">
      <c r="A112" s="4">
        <v>44743</v>
      </c>
      <c r="B112" s="3">
        <v>325550.8</v>
      </c>
      <c r="C112" t="s">
        <v>9</v>
      </c>
      <c r="D112" t="s">
        <v>19</v>
      </c>
      <c r="E112">
        <f t="shared" si="1"/>
        <v>2022</v>
      </c>
    </row>
    <row r="113" spans="1:5">
      <c r="A113" s="4">
        <v>44743</v>
      </c>
      <c r="B113" s="3">
        <v>1960753.1</v>
      </c>
      <c r="C113" t="s">
        <v>9</v>
      </c>
      <c r="D113" t="s">
        <v>20</v>
      </c>
      <c r="E113">
        <f t="shared" si="1"/>
        <v>2022</v>
      </c>
    </row>
    <row r="114" spans="1:5">
      <c r="A114" s="4">
        <v>44774</v>
      </c>
      <c r="B114" s="3">
        <v>61686.2</v>
      </c>
      <c r="C114" t="s">
        <v>2</v>
      </c>
      <c r="D114" t="s">
        <v>19</v>
      </c>
      <c r="E114">
        <f t="shared" si="1"/>
        <v>2022</v>
      </c>
    </row>
    <row r="115" spans="1:5">
      <c r="A115" s="4">
        <v>44774</v>
      </c>
      <c r="B115" s="3">
        <v>14.4</v>
      </c>
      <c r="C115" t="s">
        <v>2</v>
      </c>
      <c r="D115" t="s">
        <v>20</v>
      </c>
      <c r="E115">
        <f t="shared" si="1"/>
        <v>2022</v>
      </c>
    </row>
    <row r="116" spans="1:5">
      <c r="A116" s="4">
        <v>44774</v>
      </c>
      <c r="B116" s="3">
        <v>7086.8</v>
      </c>
      <c r="C116" t="s">
        <v>3</v>
      </c>
      <c r="D116" t="s">
        <v>19</v>
      </c>
      <c r="E116">
        <f t="shared" si="1"/>
        <v>2022</v>
      </c>
    </row>
    <row r="117" spans="1:5">
      <c r="A117" s="4">
        <v>44774</v>
      </c>
      <c r="B117" s="3">
        <v>8327.7999999999993</v>
      </c>
      <c r="C117" t="s">
        <v>3</v>
      </c>
      <c r="D117" t="s">
        <v>20</v>
      </c>
      <c r="E117">
        <f t="shared" si="1"/>
        <v>2022</v>
      </c>
    </row>
    <row r="118" spans="1:5">
      <c r="A118" s="4">
        <v>44774</v>
      </c>
      <c r="B118" s="3">
        <v>0</v>
      </c>
      <c r="C118" t="s">
        <v>4</v>
      </c>
      <c r="D118" t="s">
        <v>19</v>
      </c>
      <c r="E118">
        <f t="shared" si="1"/>
        <v>2022</v>
      </c>
    </row>
    <row r="119" spans="1:5">
      <c r="A119" s="4">
        <v>44774</v>
      </c>
      <c r="B119" s="3">
        <v>0</v>
      </c>
      <c r="C119" t="s">
        <v>4</v>
      </c>
      <c r="D119" t="s">
        <v>20</v>
      </c>
      <c r="E119">
        <f t="shared" si="1"/>
        <v>2022</v>
      </c>
    </row>
    <row r="120" spans="1:5">
      <c r="A120" s="4">
        <v>44774</v>
      </c>
      <c r="B120" s="3">
        <v>19260.599999999999</v>
      </c>
      <c r="C120" t="s">
        <v>5</v>
      </c>
      <c r="D120" t="s">
        <v>19</v>
      </c>
      <c r="E120">
        <f t="shared" si="1"/>
        <v>2022</v>
      </c>
    </row>
    <row r="121" spans="1:5">
      <c r="A121" s="4">
        <v>44774</v>
      </c>
      <c r="B121" s="3">
        <v>59487.9</v>
      </c>
      <c r="C121" t="s">
        <v>5</v>
      </c>
      <c r="D121" t="s">
        <v>20</v>
      </c>
      <c r="E121">
        <f t="shared" si="1"/>
        <v>2022</v>
      </c>
    </row>
    <row r="122" spans="1:5">
      <c r="A122" s="4">
        <v>44774</v>
      </c>
      <c r="B122" s="3">
        <v>33966.400000000001</v>
      </c>
      <c r="C122" t="s">
        <v>6</v>
      </c>
      <c r="D122" t="s">
        <v>19</v>
      </c>
      <c r="E122">
        <f t="shared" si="1"/>
        <v>2022</v>
      </c>
    </row>
    <row r="123" spans="1:5">
      <c r="A123" s="4">
        <v>44774</v>
      </c>
      <c r="B123" s="3">
        <v>516365.4</v>
      </c>
      <c r="C123" t="s">
        <v>6</v>
      </c>
      <c r="D123" t="s">
        <v>20</v>
      </c>
      <c r="E123">
        <f t="shared" si="1"/>
        <v>2022</v>
      </c>
    </row>
    <row r="124" spans="1:5">
      <c r="A124" s="4">
        <v>44774</v>
      </c>
      <c r="B124" s="3">
        <v>137006.39999999999</v>
      </c>
      <c r="C124" t="s">
        <v>7</v>
      </c>
      <c r="D124" t="s">
        <v>19</v>
      </c>
      <c r="E124">
        <f t="shared" si="1"/>
        <v>2022</v>
      </c>
    </row>
    <row r="125" spans="1:5">
      <c r="A125" s="4">
        <v>44774</v>
      </c>
      <c r="B125" s="3">
        <v>1536583</v>
      </c>
      <c r="C125" t="s">
        <v>7</v>
      </c>
      <c r="D125" t="s">
        <v>20</v>
      </c>
      <c r="E125">
        <f t="shared" si="1"/>
        <v>2022</v>
      </c>
    </row>
    <row r="126" spans="1:5">
      <c r="A126" s="4">
        <v>44774</v>
      </c>
      <c r="B126" s="3">
        <v>909.8</v>
      </c>
      <c r="C126" t="s">
        <v>8</v>
      </c>
      <c r="D126" t="s">
        <v>19</v>
      </c>
      <c r="E126">
        <f t="shared" si="1"/>
        <v>2022</v>
      </c>
    </row>
    <row r="127" spans="1:5">
      <c r="A127" s="4">
        <v>44774</v>
      </c>
      <c r="B127" s="3">
        <v>49281.599999999999</v>
      </c>
      <c r="C127" t="s">
        <v>8</v>
      </c>
      <c r="D127" t="s">
        <v>20</v>
      </c>
      <c r="E127">
        <f t="shared" si="1"/>
        <v>2022</v>
      </c>
    </row>
    <row r="128" spans="1:5">
      <c r="A128" s="4">
        <v>44774</v>
      </c>
      <c r="B128" s="3">
        <v>323231.7</v>
      </c>
      <c r="C128" t="s">
        <v>9</v>
      </c>
      <c r="D128" t="s">
        <v>19</v>
      </c>
      <c r="E128">
        <f t="shared" si="1"/>
        <v>2022</v>
      </c>
    </row>
    <row r="129" spans="1:5">
      <c r="A129" s="4">
        <v>44774</v>
      </c>
      <c r="B129" s="3">
        <v>2149961.5</v>
      </c>
      <c r="C129" t="s">
        <v>9</v>
      </c>
      <c r="D129" t="s">
        <v>20</v>
      </c>
      <c r="E129">
        <f t="shared" si="1"/>
        <v>2022</v>
      </c>
    </row>
    <row r="130" spans="1:5">
      <c r="A130" s="4">
        <v>44805</v>
      </c>
      <c r="B130" s="3">
        <v>96039.1</v>
      </c>
      <c r="C130" t="s">
        <v>2</v>
      </c>
      <c r="D130" t="s">
        <v>19</v>
      </c>
      <c r="E130">
        <f t="shared" si="1"/>
        <v>2022</v>
      </c>
    </row>
    <row r="131" spans="1:5">
      <c r="A131" s="4">
        <v>44805</v>
      </c>
      <c r="B131" s="3">
        <v>20.3</v>
      </c>
      <c r="C131" t="s">
        <v>2</v>
      </c>
      <c r="D131" t="s">
        <v>20</v>
      </c>
      <c r="E131">
        <f t="shared" ref="E131:E194" si="2">YEAR(A131)</f>
        <v>2022</v>
      </c>
    </row>
    <row r="132" spans="1:5">
      <c r="A132" s="4">
        <v>44805</v>
      </c>
      <c r="B132" s="3">
        <v>7268.4</v>
      </c>
      <c r="C132" t="s">
        <v>3</v>
      </c>
      <c r="D132" t="s">
        <v>19</v>
      </c>
      <c r="E132">
        <f t="shared" si="2"/>
        <v>2022</v>
      </c>
    </row>
    <row r="133" spans="1:5">
      <c r="A133" s="4">
        <v>44805</v>
      </c>
      <c r="B133" s="3">
        <v>9541.6</v>
      </c>
      <c r="C133" t="s">
        <v>3</v>
      </c>
      <c r="D133" t="s">
        <v>20</v>
      </c>
      <c r="E133">
        <f t="shared" si="2"/>
        <v>2022</v>
      </c>
    </row>
    <row r="134" spans="1:5">
      <c r="A134" s="4">
        <v>44805</v>
      </c>
      <c r="B134" s="3">
        <v>0</v>
      </c>
      <c r="C134" t="s">
        <v>4</v>
      </c>
      <c r="D134" t="s">
        <v>19</v>
      </c>
      <c r="E134">
        <f t="shared" si="2"/>
        <v>2022</v>
      </c>
    </row>
    <row r="135" spans="1:5">
      <c r="A135" s="4">
        <v>44805</v>
      </c>
      <c r="B135" s="3">
        <v>0</v>
      </c>
      <c r="C135" t="s">
        <v>4</v>
      </c>
      <c r="D135" t="s">
        <v>20</v>
      </c>
      <c r="E135">
        <f t="shared" si="2"/>
        <v>2022</v>
      </c>
    </row>
    <row r="136" spans="1:5">
      <c r="A136" s="4">
        <v>44805</v>
      </c>
      <c r="B136" s="3">
        <v>17776.099999999999</v>
      </c>
      <c r="C136" t="s">
        <v>5</v>
      </c>
      <c r="D136" t="s">
        <v>19</v>
      </c>
      <c r="E136">
        <f t="shared" si="2"/>
        <v>2022</v>
      </c>
    </row>
    <row r="137" spans="1:5">
      <c r="A137" s="4">
        <v>44805</v>
      </c>
      <c r="B137" s="3">
        <v>60371.1</v>
      </c>
      <c r="C137" t="s">
        <v>5</v>
      </c>
      <c r="D137" t="s">
        <v>20</v>
      </c>
      <c r="E137">
        <f t="shared" si="2"/>
        <v>2022</v>
      </c>
    </row>
    <row r="138" spans="1:5">
      <c r="A138" s="4">
        <v>44805</v>
      </c>
      <c r="B138" s="3">
        <v>32562.799999999999</v>
      </c>
      <c r="C138" t="s">
        <v>6</v>
      </c>
      <c r="D138" t="s">
        <v>19</v>
      </c>
      <c r="E138">
        <f t="shared" si="2"/>
        <v>2022</v>
      </c>
    </row>
    <row r="139" spans="1:5">
      <c r="A139" s="4">
        <v>44805</v>
      </c>
      <c r="B139" s="3">
        <v>557244.19999999995</v>
      </c>
      <c r="C139" t="s">
        <v>6</v>
      </c>
      <c r="D139" t="s">
        <v>20</v>
      </c>
      <c r="E139">
        <f t="shared" si="2"/>
        <v>2022</v>
      </c>
    </row>
    <row r="140" spans="1:5">
      <c r="A140" s="4">
        <v>44805</v>
      </c>
      <c r="B140" s="3">
        <v>152053.6</v>
      </c>
      <c r="C140" t="s">
        <v>7</v>
      </c>
      <c r="D140" t="s">
        <v>19</v>
      </c>
      <c r="E140">
        <f t="shared" si="2"/>
        <v>2022</v>
      </c>
    </row>
    <row r="141" spans="1:5">
      <c r="A141" s="4">
        <v>44805</v>
      </c>
      <c r="B141" s="3">
        <v>1628763</v>
      </c>
      <c r="C141" t="s">
        <v>7</v>
      </c>
      <c r="D141" t="s">
        <v>20</v>
      </c>
      <c r="E141">
        <f t="shared" si="2"/>
        <v>2022</v>
      </c>
    </row>
    <row r="142" spans="1:5">
      <c r="A142" s="4">
        <v>44805</v>
      </c>
      <c r="B142" s="3">
        <v>930.4</v>
      </c>
      <c r="C142" t="s">
        <v>8</v>
      </c>
      <c r="D142" t="s">
        <v>19</v>
      </c>
      <c r="E142">
        <f t="shared" si="2"/>
        <v>2022</v>
      </c>
    </row>
    <row r="143" spans="1:5">
      <c r="A143" s="4">
        <v>44805</v>
      </c>
      <c r="B143" s="3">
        <v>51366.8</v>
      </c>
      <c r="C143" t="s">
        <v>8</v>
      </c>
      <c r="D143" t="s">
        <v>20</v>
      </c>
      <c r="E143">
        <f t="shared" si="2"/>
        <v>2022</v>
      </c>
    </row>
    <row r="144" spans="1:5">
      <c r="A144" s="4">
        <v>44805</v>
      </c>
      <c r="B144" s="3">
        <v>319532.40000000002</v>
      </c>
      <c r="C144" t="s">
        <v>9</v>
      </c>
      <c r="D144" t="s">
        <v>19</v>
      </c>
      <c r="E144">
        <f t="shared" si="2"/>
        <v>2022</v>
      </c>
    </row>
    <row r="145" spans="1:5">
      <c r="A145" s="4">
        <v>44805</v>
      </c>
      <c r="B145" s="3">
        <v>2222820</v>
      </c>
      <c r="C145" t="s">
        <v>9</v>
      </c>
      <c r="D145" t="s">
        <v>20</v>
      </c>
      <c r="E145">
        <f t="shared" si="2"/>
        <v>2022</v>
      </c>
    </row>
    <row r="146" spans="1:5">
      <c r="A146" s="4">
        <v>44835</v>
      </c>
      <c r="B146" s="3">
        <v>88607.8</v>
      </c>
      <c r="C146" t="s">
        <v>2</v>
      </c>
      <c r="D146" t="s">
        <v>19</v>
      </c>
      <c r="E146">
        <f t="shared" si="2"/>
        <v>2022</v>
      </c>
    </row>
    <row r="147" spans="1:5">
      <c r="A147" s="4">
        <v>44835</v>
      </c>
      <c r="B147" s="3">
        <v>19.8</v>
      </c>
      <c r="C147" t="s">
        <v>2</v>
      </c>
      <c r="D147" t="s">
        <v>20</v>
      </c>
      <c r="E147">
        <f t="shared" si="2"/>
        <v>2022</v>
      </c>
    </row>
    <row r="148" spans="1:5">
      <c r="A148" s="4">
        <v>44835</v>
      </c>
      <c r="B148" s="3">
        <v>7068.6</v>
      </c>
      <c r="C148" t="s">
        <v>3</v>
      </c>
      <c r="D148" t="s">
        <v>19</v>
      </c>
      <c r="E148">
        <f t="shared" si="2"/>
        <v>2022</v>
      </c>
    </row>
    <row r="149" spans="1:5">
      <c r="A149" s="4">
        <v>44835</v>
      </c>
      <c r="B149" s="3">
        <v>9993</v>
      </c>
      <c r="C149" t="s">
        <v>3</v>
      </c>
      <c r="D149" t="s">
        <v>20</v>
      </c>
      <c r="E149">
        <f t="shared" si="2"/>
        <v>2022</v>
      </c>
    </row>
    <row r="150" spans="1:5">
      <c r="A150" s="4">
        <v>44835</v>
      </c>
      <c r="B150" s="3">
        <v>0</v>
      </c>
      <c r="C150" t="s">
        <v>4</v>
      </c>
      <c r="D150" t="s">
        <v>19</v>
      </c>
      <c r="E150">
        <f t="shared" si="2"/>
        <v>2022</v>
      </c>
    </row>
    <row r="151" spans="1:5">
      <c r="A151" s="4">
        <v>44835</v>
      </c>
      <c r="B151" s="3">
        <v>0</v>
      </c>
      <c r="C151" t="s">
        <v>4</v>
      </c>
      <c r="D151" t="s">
        <v>20</v>
      </c>
      <c r="E151">
        <f t="shared" si="2"/>
        <v>2022</v>
      </c>
    </row>
    <row r="152" spans="1:5">
      <c r="A152" s="4">
        <v>44835</v>
      </c>
      <c r="B152" s="3">
        <v>16417.8</v>
      </c>
      <c r="C152" t="s">
        <v>5</v>
      </c>
      <c r="D152" t="s">
        <v>19</v>
      </c>
      <c r="E152">
        <f t="shared" si="2"/>
        <v>2022</v>
      </c>
    </row>
    <row r="153" spans="1:5">
      <c r="A153" s="4">
        <v>44835</v>
      </c>
      <c r="B153" s="3">
        <v>65174.2</v>
      </c>
      <c r="C153" t="s">
        <v>5</v>
      </c>
      <c r="D153" t="s">
        <v>20</v>
      </c>
      <c r="E153">
        <f t="shared" si="2"/>
        <v>2022</v>
      </c>
    </row>
    <row r="154" spans="1:5">
      <c r="A154" s="4">
        <v>44835</v>
      </c>
      <c r="B154" s="3">
        <v>30958.6</v>
      </c>
      <c r="C154" t="s">
        <v>6</v>
      </c>
      <c r="D154" t="s">
        <v>19</v>
      </c>
      <c r="E154">
        <f t="shared" si="2"/>
        <v>2022</v>
      </c>
    </row>
    <row r="155" spans="1:5">
      <c r="A155" s="4">
        <v>44835</v>
      </c>
      <c r="B155" s="3">
        <v>617064.9</v>
      </c>
      <c r="C155" t="s">
        <v>6</v>
      </c>
      <c r="D155" t="s">
        <v>20</v>
      </c>
      <c r="E155">
        <f t="shared" si="2"/>
        <v>2022</v>
      </c>
    </row>
    <row r="156" spans="1:5">
      <c r="A156" s="4">
        <v>44835</v>
      </c>
      <c r="B156" s="3">
        <v>151564.29999999999</v>
      </c>
      <c r="C156" t="s">
        <v>7</v>
      </c>
      <c r="D156" t="s">
        <v>19</v>
      </c>
      <c r="E156">
        <f t="shared" si="2"/>
        <v>2022</v>
      </c>
    </row>
    <row r="157" spans="1:5">
      <c r="A157" s="4">
        <v>44835</v>
      </c>
      <c r="B157" s="3">
        <v>1625795.4</v>
      </c>
      <c r="C157" t="s">
        <v>7</v>
      </c>
      <c r="D157" t="s">
        <v>20</v>
      </c>
      <c r="E157">
        <f t="shared" si="2"/>
        <v>2022</v>
      </c>
    </row>
    <row r="158" spans="1:5">
      <c r="A158" s="4">
        <v>44835</v>
      </c>
      <c r="B158" s="3">
        <v>928.8</v>
      </c>
      <c r="C158" t="s">
        <v>8</v>
      </c>
      <c r="D158" t="s">
        <v>19</v>
      </c>
      <c r="E158">
        <f t="shared" si="2"/>
        <v>2022</v>
      </c>
    </row>
    <row r="159" spans="1:5">
      <c r="A159" s="4">
        <v>44835</v>
      </c>
      <c r="B159" s="3">
        <v>51972.6</v>
      </c>
      <c r="C159" t="s">
        <v>8</v>
      </c>
      <c r="D159" t="s">
        <v>20</v>
      </c>
      <c r="E159">
        <f t="shared" si="2"/>
        <v>2022</v>
      </c>
    </row>
    <row r="160" spans="1:5">
      <c r="A160" s="4">
        <v>44835</v>
      </c>
      <c r="B160" s="3">
        <v>366085.4</v>
      </c>
      <c r="C160" t="s">
        <v>9</v>
      </c>
      <c r="D160" t="s">
        <v>19</v>
      </c>
      <c r="E160">
        <f t="shared" si="2"/>
        <v>2022</v>
      </c>
    </row>
    <row r="161" spans="1:5">
      <c r="A161" s="4">
        <v>44835</v>
      </c>
      <c r="B161" s="3">
        <v>2248606.4</v>
      </c>
      <c r="C161" t="s">
        <v>9</v>
      </c>
      <c r="D161" t="s">
        <v>20</v>
      </c>
      <c r="E161">
        <f t="shared" si="2"/>
        <v>2022</v>
      </c>
    </row>
    <row r="162" spans="1:5">
      <c r="A162" s="4">
        <v>44866</v>
      </c>
      <c r="B162" s="3">
        <v>98524.800000000003</v>
      </c>
      <c r="C162" t="s">
        <v>2</v>
      </c>
      <c r="D162" t="s">
        <v>19</v>
      </c>
      <c r="E162">
        <f t="shared" si="2"/>
        <v>2022</v>
      </c>
    </row>
    <row r="163" spans="1:5">
      <c r="A163" s="4">
        <v>44866</v>
      </c>
      <c r="B163" s="3">
        <v>21.6</v>
      </c>
      <c r="C163" t="s">
        <v>2</v>
      </c>
      <c r="D163" t="s">
        <v>20</v>
      </c>
      <c r="E163">
        <f t="shared" si="2"/>
        <v>2022</v>
      </c>
    </row>
    <row r="164" spans="1:5">
      <c r="A164" s="4">
        <v>44866</v>
      </c>
      <c r="B164" s="3">
        <v>8755.1</v>
      </c>
      <c r="C164" t="s">
        <v>3</v>
      </c>
      <c r="D164" t="s">
        <v>19</v>
      </c>
      <c r="E164">
        <f t="shared" si="2"/>
        <v>2022</v>
      </c>
    </row>
    <row r="165" spans="1:5">
      <c r="A165" s="4">
        <v>44866</v>
      </c>
      <c r="B165" s="3">
        <v>10497.5</v>
      </c>
      <c r="C165" t="s">
        <v>3</v>
      </c>
      <c r="D165" t="s">
        <v>20</v>
      </c>
      <c r="E165">
        <f t="shared" si="2"/>
        <v>2022</v>
      </c>
    </row>
    <row r="166" spans="1:5">
      <c r="A166" s="4">
        <v>44866</v>
      </c>
      <c r="B166" s="3">
        <v>0</v>
      </c>
      <c r="C166" t="s">
        <v>4</v>
      </c>
      <c r="D166" t="s">
        <v>19</v>
      </c>
      <c r="E166">
        <f t="shared" si="2"/>
        <v>2022</v>
      </c>
    </row>
    <row r="167" spans="1:5">
      <c r="A167" s="4">
        <v>44866</v>
      </c>
      <c r="B167" s="3">
        <v>0</v>
      </c>
      <c r="C167" t="s">
        <v>4</v>
      </c>
      <c r="D167" t="s">
        <v>20</v>
      </c>
      <c r="E167">
        <f t="shared" si="2"/>
        <v>2022</v>
      </c>
    </row>
    <row r="168" spans="1:5">
      <c r="A168" s="4">
        <v>44866</v>
      </c>
      <c r="B168" s="3">
        <v>18393.599999999999</v>
      </c>
      <c r="C168" t="s">
        <v>5</v>
      </c>
      <c r="D168" t="s">
        <v>19</v>
      </c>
      <c r="E168">
        <f t="shared" si="2"/>
        <v>2022</v>
      </c>
    </row>
    <row r="169" spans="1:5">
      <c r="A169" s="4">
        <v>44866</v>
      </c>
      <c r="B169" s="3">
        <v>77916.800000000003</v>
      </c>
      <c r="C169" t="s">
        <v>5</v>
      </c>
      <c r="D169" t="s">
        <v>20</v>
      </c>
      <c r="E169">
        <f t="shared" si="2"/>
        <v>2022</v>
      </c>
    </row>
    <row r="170" spans="1:5">
      <c r="A170" s="4">
        <v>44866</v>
      </c>
      <c r="B170" s="3">
        <v>32377.7</v>
      </c>
      <c r="C170" t="s">
        <v>6</v>
      </c>
      <c r="D170" t="s">
        <v>19</v>
      </c>
      <c r="E170">
        <f t="shared" si="2"/>
        <v>2022</v>
      </c>
    </row>
    <row r="171" spans="1:5">
      <c r="A171" s="4">
        <v>44866</v>
      </c>
      <c r="B171" s="3">
        <v>638437.69999999995</v>
      </c>
      <c r="C171" t="s">
        <v>6</v>
      </c>
      <c r="D171" t="s">
        <v>20</v>
      </c>
      <c r="E171">
        <f t="shared" si="2"/>
        <v>2022</v>
      </c>
    </row>
    <row r="172" spans="1:5">
      <c r="A172" s="4">
        <v>44866</v>
      </c>
      <c r="B172" s="3">
        <v>141319.1</v>
      </c>
      <c r="C172" t="s">
        <v>7</v>
      </c>
      <c r="D172" t="s">
        <v>19</v>
      </c>
      <c r="E172">
        <f t="shared" si="2"/>
        <v>2022</v>
      </c>
    </row>
    <row r="173" spans="1:5">
      <c r="A173" s="4">
        <v>44866</v>
      </c>
      <c r="B173" s="3">
        <v>1640112.5</v>
      </c>
      <c r="C173" t="s">
        <v>7</v>
      </c>
      <c r="D173" t="s">
        <v>20</v>
      </c>
      <c r="E173">
        <f t="shared" si="2"/>
        <v>2022</v>
      </c>
    </row>
    <row r="174" spans="1:5">
      <c r="A174" s="4">
        <v>44866</v>
      </c>
      <c r="B174" s="3">
        <v>1110.9000000000001</v>
      </c>
      <c r="C174" t="s">
        <v>8</v>
      </c>
      <c r="D174" t="s">
        <v>19</v>
      </c>
      <c r="E174">
        <f t="shared" si="2"/>
        <v>2022</v>
      </c>
    </row>
    <row r="175" spans="1:5">
      <c r="A175" s="4">
        <v>44866</v>
      </c>
      <c r="B175" s="3">
        <v>56557.8</v>
      </c>
      <c r="C175" t="s">
        <v>8</v>
      </c>
      <c r="D175" t="s">
        <v>20</v>
      </c>
      <c r="E175">
        <f t="shared" si="2"/>
        <v>2022</v>
      </c>
    </row>
    <row r="176" spans="1:5">
      <c r="A176" s="4">
        <v>44866</v>
      </c>
      <c r="B176" s="3">
        <v>368046.8</v>
      </c>
      <c r="C176" t="s">
        <v>9</v>
      </c>
      <c r="D176" t="s">
        <v>19</v>
      </c>
      <c r="E176">
        <f t="shared" si="2"/>
        <v>2022</v>
      </c>
    </row>
    <row r="177" spans="1:5">
      <c r="A177" s="4">
        <v>44866</v>
      </c>
      <c r="B177" s="3">
        <v>2327969.1</v>
      </c>
      <c r="C177" t="s">
        <v>9</v>
      </c>
      <c r="D177" t="s">
        <v>20</v>
      </c>
      <c r="E177">
        <f t="shared" si="2"/>
        <v>2022</v>
      </c>
    </row>
    <row r="178" spans="1:5">
      <c r="A178" s="4">
        <v>44927</v>
      </c>
      <c r="B178" s="3">
        <v>2814</v>
      </c>
      <c r="C178" t="s">
        <v>2</v>
      </c>
      <c r="D178" t="s">
        <v>19</v>
      </c>
      <c r="E178">
        <f t="shared" si="2"/>
        <v>2023</v>
      </c>
    </row>
    <row r="179" spans="1:5">
      <c r="A179" s="4">
        <v>44927</v>
      </c>
      <c r="B179" s="3">
        <v>51</v>
      </c>
      <c r="C179" t="s">
        <v>2</v>
      </c>
      <c r="D179" t="s">
        <v>20</v>
      </c>
      <c r="E179">
        <f t="shared" si="2"/>
        <v>2023</v>
      </c>
    </row>
    <row r="180" spans="1:5">
      <c r="A180" s="4">
        <v>44927</v>
      </c>
      <c r="B180" s="3">
        <v>10059.200000000001</v>
      </c>
      <c r="C180" t="s">
        <v>3</v>
      </c>
      <c r="D180" t="s">
        <v>19</v>
      </c>
      <c r="E180">
        <f t="shared" si="2"/>
        <v>2023</v>
      </c>
    </row>
    <row r="181" spans="1:5">
      <c r="A181" s="4">
        <v>44927</v>
      </c>
      <c r="B181" s="3">
        <v>11670.8</v>
      </c>
      <c r="C181" t="s">
        <v>3</v>
      </c>
      <c r="D181" t="s">
        <v>20</v>
      </c>
      <c r="E181">
        <f t="shared" si="2"/>
        <v>2023</v>
      </c>
    </row>
    <row r="182" spans="1:5">
      <c r="A182" s="4">
        <v>44927</v>
      </c>
      <c r="B182" s="3">
        <v>0</v>
      </c>
      <c r="C182" t="s">
        <v>4</v>
      </c>
      <c r="D182" t="s">
        <v>19</v>
      </c>
      <c r="E182">
        <f t="shared" si="2"/>
        <v>2023</v>
      </c>
    </row>
    <row r="183" spans="1:5">
      <c r="A183" s="4">
        <v>44927</v>
      </c>
      <c r="B183" s="3">
        <v>0</v>
      </c>
      <c r="C183" t="s">
        <v>4</v>
      </c>
      <c r="D183" t="s">
        <v>20</v>
      </c>
      <c r="E183">
        <f t="shared" si="2"/>
        <v>2023</v>
      </c>
    </row>
    <row r="184" spans="1:5">
      <c r="A184" s="4">
        <v>44927</v>
      </c>
      <c r="B184" s="3">
        <v>25157.8</v>
      </c>
      <c r="C184" t="s">
        <v>5</v>
      </c>
      <c r="D184" t="s">
        <v>19</v>
      </c>
      <c r="E184">
        <f t="shared" si="2"/>
        <v>2023</v>
      </c>
    </row>
    <row r="185" spans="1:5">
      <c r="A185" s="4">
        <v>44927</v>
      </c>
      <c r="B185" s="3">
        <v>78390.899999999994</v>
      </c>
      <c r="C185" t="s">
        <v>5</v>
      </c>
      <c r="D185" t="s">
        <v>20</v>
      </c>
      <c r="E185">
        <f t="shared" si="2"/>
        <v>2023</v>
      </c>
    </row>
    <row r="186" spans="1:5">
      <c r="A186" s="4">
        <v>44927</v>
      </c>
      <c r="B186" s="3">
        <v>51867.1</v>
      </c>
      <c r="C186" t="s">
        <v>6</v>
      </c>
      <c r="D186" t="s">
        <v>19</v>
      </c>
      <c r="E186">
        <f t="shared" si="2"/>
        <v>2023</v>
      </c>
    </row>
    <row r="187" spans="1:5">
      <c r="A187" s="4">
        <v>44927</v>
      </c>
      <c r="B187" s="3">
        <v>701389</v>
      </c>
      <c r="C187" t="s">
        <v>6</v>
      </c>
      <c r="D187" t="s">
        <v>20</v>
      </c>
      <c r="E187">
        <f t="shared" si="2"/>
        <v>2023</v>
      </c>
    </row>
    <row r="188" spans="1:5">
      <c r="A188" s="4">
        <v>44927</v>
      </c>
      <c r="B188" s="3">
        <v>187973.2</v>
      </c>
      <c r="C188" t="s">
        <v>7</v>
      </c>
      <c r="D188" t="s">
        <v>19</v>
      </c>
      <c r="E188">
        <f t="shared" si="2"/>
        <v>2023</v>
      </c>
    </row>
    <row r="189" spans="1:5">
      <c r="A189" s="4">
        <v>44927</v>
      </c>
      <c r="B189" s="3">
        <v>1583204.7</v>
      </c>
      <c r="C189" t="s">
        <v>7</v>
      </c>
      <c r="D189" t="s">
        <v>20</v>
      </c>
      <c r="E189">
        <f t="shared" si="2"/>
        <v>2023</v>
      </c>
    </row>
    <row r="190" spans="1:5">
      <c r="A190" s="4">
        <v>44927</v>
      </c>
      <c r="B190" s="3">
        <v>1716.2</v>
      </c>
      <c r="C190" t="s">
        <v>8</v>
      </c>
      <c r="D190" t="s">
        <v>19</v>
      </c>
      <c r="E190">
        <f t="shared" si="2"/>
        <v>2023</v>
      </c>
    </row>
    <row r="191" spans="1:5">
      <c r="A191" s="4">
        <v>44927</v>
      </c>
      <c r="B191" s="3">
        <v>62280.4</v>
      </c>
      <c r="C191" t="s">
        <v>8</v>
      </c>
      <c r="D191" t="s">
        <v>20</v>
      </c>
      <c r="E191">
        <f t="shared" si="2"/>
        <v>2023</v>
      </c>
    </row>
    <row r="192" spans="1:5">
      <c r="A192" s="4">
        <v>44927</v>
      </c>
      <c r="B192" s="3">
        <v>400087.7</v>
      </c>
      <c r="C192" t="s">
        <v>9</v>
      </c>
      <c r="D192" t="s">
        <v>19</v>
      </c>
      <c r="E192">
        <f t="shared" si="2"/>
        <v>2023</v>
      </c>
    </row>
    <row r="193" spans="1:5">
      <c r="A193" s="4">
        <v>44927</v>
      </c>
      <c r="B193" s="3">
        <v>2189935.6</v>
      </c>
      <c r="C193" t="s">
        <v>9</v>
      </c>
      <c r="D193" t="s">
        <v>20</v>
      </c>
      <c r="E193">
        <f t="shared" si="2"/>
        <v>2023</v>
      </c>
    </row>
    <row r="194" spans="1:5">
      <c r="A194" s="4">
        <v>44958</v>
      </c>
      <c r="B194" s="3">
        <v>2909.9</v>
      </c>
      <c r="C194" t="s">
        <v>2</v>
      </c>
      <c r="D194" t="s">
        <v>19</v>
      </c>
      <c r="E194">
        <f t="shared" si="2"/>
        <v>2023</v>
      </c>
    </row>
    <row r="195" spans="1:5">
      <c r="A195" s="4">
        <v>44958</v>
      </c>
      <c r="B195" s="3">
        <v>72.2</v>
      </c>
      <c r="C195" t="s">
        <v>2</v>
      </c>
      <c r="D195" t="s">
        <v>20</v>
      </c>
      <c r="E195">
        <f t="shared" ref="E195:E258" si="3">YEAR(A195)</f>
        <v>2023</v>
      </c>
    </row>
    <row r="196" spans="1:5">
      <c r="A196" s="4">
        <v>44958</v>
      </c>
      <c r="B196" s="3">
        <v>10927.4</v>
      </c>
      <c r="C196" t="s">
        <v>3</v>
      </c>
      <c r="D196" t="s">
        <v>19</v>
      </c>
      <c r="E196">
        <f t="shared" si="3"/>
        <v>2023</v>
      </c>
    </row>
    <row r="197" spans="1:5">
      <c r="A197" s="4">
        <v>44958</v>
      </c>
      <c r="B197" s="3">
        <v>12189.9</v>
      </c>
      <c r="C197" t="s">
        <v>3</v>
      </c>
      <c r="D197" t="s">
        <v>20</v>
      </c>
      <c r="E197">
        <f t="shared" si="3"/>
        <v>2023</v>
      </c>
    </row>
    <row r="198" spans="1:5">
      <c r="A198" s="4">
        <v>44958</v>
      </c>
      <c r="B198" s="3">
        <v>0.1</v>
      </c>
      <c r="C198" t="s">
        <v>4</v>
      </c>
      <c r="D198" t="s">
        <v>19</v>
      </c>
      <c r="E198">
        <f t="shared" si="3"/>
        <v>2023</v>
      </c>
    </row>
    <row r="199" spans="1:5">
      <c r="A199" s="4">
        <v>44958</v>
      </c>
      <c r="B199" s="3">
        <v>0</v>
      </c>
      <c r="C199" t="s">
        <v>4</v>
      </c>
      <c r="D199" t="s">
        <v>20</v>
      </c>
      <c r="E199">
        <f t="shared" si="3"/>
        <v>2023</v>
      </c>
    </row>
    <row r="200" spans="1:5">
      <c r="A200" s="4">
        <v>44958</v>
      </c>
      <c r="B200" s="3">
        <v>21659.599999999999</v>
      </c>
      <c r="C200" t="s">
        <v>5</v>
      </c>
      <c r="D200" t="s">
        <v>19</v>
      </c>
      <c r="E200">
        <f t="shared" si="3"/>
        <v>2023</v>
      </c>
    </row>
    <row r="201" spans="1:5">
      <c r="A201" s="4">
        <v>44958</v>
      </c>
      <c r="B201" s="3">
        <v>87386.2</v>
      </c>
      <c r="C201" t="s">
        <v>5</v>
      </c>
      <c r="D201" t="s">
        <v>20</v>
      </c>
      <c r="E201">
        <f t="shared" si="3"/>
        <v>2023</v>
      </c>
    </row>
    <row r="202" spans="1:5">
      <c r="A202" s="4">
        <v>44958</v>
      </c>
      <c r="B202" s="3">
        <v>50234.2</v>
      </c>
      <c r="C202" t="s">
        <v>6</v>
      </c>
      <c r="D202" t="s">
        <v>19</v>
      </c>
      <c r="E202">
        <f t="shared" si="3"/>
        <v>2023</v>
      </c>
    </row>
    <row r="203" spans="1:5">
      <c r="A203" s="4">
        <v>44958</v>
      </c>
      <c r="B203" s="3">
        <v>704533.8</v>
      </c>
      <c r="C203" t="s">
        <v>6</v>
      </c>
      <c r="D203" t="s">
        <v>20</v>
      </c>
      <c r="E203">
        <f t="shared" si="3"/>
        <v>2023</v>
      </c>
    </row>
    <row r="204" spans="1:5">
      <c r="A204" s="4">
        <v>44958</v>
      </c>
      <c r="B204" s="3">
        <v>170101.2</v>
      </c>
      <c r="C204" t="s">
        <v>7</v>
      </c>
      <c r="D204" t="s">
        <v>19</v>
      </c>
      <c r="E204">
        <f t="shared" si="3"/>
        <v>2023</v>
      </c>
    </row>
    <row r="205" spans="1:5">
      <c r="A205" s="4">
        <v>44958</v>
      </c>
      <c r="B205" s="3">
        <v>1609214.1</v>
      </c>
      <c r="C205" t="s">
        <v>7</v>
      </c>
      <c r="D205" t="s">
        <v>20</v>
      </c>
      <c r="E205">
        <f t="shared" si="3"/>
        <v>2023</v>
      </c>
    </row>
    <row r="206" spans="1:5">
      <c r="A206" s="4">
        <v>44958</v>
      </c>
      <c r="B206" s="3">
        <v>1430.5</v>
      </c>
      <c r="C206" t="s">
        <v>8</v>
      </c>
      <c r="D206" t="s">
        <v>19</v>
      </c>
      <c r="E206">
        <f t="shared" si="3"/>
        <v>2023</v>
      </c>
    </row>
    <row r="207" spans="1:5">
      <c r="A207" s="4">
        <v>44958</v>
      </c>
      <c r="B207" s="3">
        <v>62040.3</v>
      </c>
      <c r="C207" t="s">
        <v>8</v>
      </c>
      <c r="D207" t="s">
        <v>20</v>
      </c>
      <c r="E207">
        <f t="shared" si="3"/>
        <v>2023</v>
      </c>
    </row>
    <row r="208" spans="1:5">
      <c r="A208" s="4">
        <v>44958</v>
      </c>
      <c r="B208" s="3">
        <v>387691.8</v>
      </c>
      <c r="C208" t="s">
        <v>9</v>
      </c>
      <c r="D208" t="s">
        <v>19</v>
      </c>
      <c r="E208">
        <f t="shared" si="3"/>
        <v>2023</v>
      </c>
    </row>
    <row r="209" spans="1:5">
      <c r="A209" s="4">
        <v>44958</v>
      </c>
      <c r="B209" s="3">
        <v>2168539.7000000002</v>
      </c>
      <c r="C209" t="s">
        <v>9</v>
      </c>
      <c r="D209" t="s">
        <v>20</v>
      </c>
      <c r="E209">
        <f t="shared" si="3"/>
        <v>2023</v>
      </c>
    </row>
    <row r="210" spans="1:5">
      <c r="A210" s="4">
        <v>44986</v>
      </c>
      <c r="B210" s="3">
        <v>2807.7</v>
      </c>
      <c r="C210" t="s">
        <v>2</v>
      </c>
      <c r="D210" t="s">
        <v>19</v>
      </c>
      <c r="E210">
        <f t="shared" si="3"/>
        <v>2023</v>
      </c>
    </row>
    <row r="211" spans="1:5">
      <c r="A211" s="4">
        <v>44986</v>
      </c>
      <c r="B211" s="3">
        <v>92.6</v>
      </c>
      <c r="C211" t="s">
        <v>2</v>
      </c>
      <c r="D211" t="s">
        <v>20</v>
      </c>
      <c r="E211">
        <f t="shared" si="3"/>
        <v>2023</v>
      </c>
    </row>
    <row r="212" spans="1:5">
      <c r="A212" s="4">
        <v>44986</v>
      </c>
      <c r="B212" s="3">
        <v>12320.1</v>
      </c>
      <c r="C212" t="s">
        <v>3</v>
      </c>
      <c r="D212" t="s">
        <v>19</v>
      </c>
      <c r="E212">
        <f t="shared" si="3"/>
        <v>2023</v>
      </c>
    </row>
    <row r="213" spans="1:5">
      <c r="A213" s="4">
        <v>44986</v>
      </c>
      <c r="B213" s="3">
        <v>14634.7</v>
      </c>
      <c r="C213" t="s">
        <v>3</v>
      </c>
      <c r="D213" t="s">
        <v>20</v>
      </c>
      <c r="E213">
        <f t="shared" si="3"/>
        <v>2023</v>
      </c>
    </row>
    <row r="214" spans="1:5">
      <c r="A214" s="4">
        <v>44986</v>
      </c>
      <c r="B214" s="3">
        <v>0.1</v>
      </c>
      <c r="C214" t="s">
        <v>4</v>
      </c>
      <c r="D214" t="s">
        <v>19</v>
      </c>
      <c r="E214">
        <f t="shared" si="3"/>
        <v>2023</v>
      </c>
    </row>
    <row r="215" spans="1:5">
      <c r="A215" s="4">
        <v>44986</v>
      </c>
      <c r="B215" s="3">
        <v>0</v>
      </c>
      <c r="C215" t="s">
        <v>4</v>
      </c>
      <c r="D215" t="s">
        <v>20</v>
      </c>
      <c r="E215">
        <f t="shared" si="3"/>
        <v>2023</v>
      </c>
    </row>
    <row r="216" spans="1:5">
      <c r="A216" s="4">
        <v>44986</v>
      </c>
      <c r="B216" s="3">
        <v>19390.5</v>
      </c>
      <c r="C216" t="s">
        <v>5</v>
      </c>
      <c r="D216" t="s">
        <v>19</v>
      </c>
      <c r="E216">
        <f t="shared" si="3"/>
        <v>2023</v>
      </c>
    </row>
    <row r="217" spans="1:5">
      <c r="A217" s="4">
        <v>44986</v>
      </c>
      <c r="B217" s="3">
        <v>97386.6</v>
      </c>
      <c r="C217" t="s">
        <v>5</v>
      </c>
      <c r="D217" t="s">
        <v>20</v>
      </c>
      <c r="E217">
        <f t="shared" si="3"/>
        <v>2023</v>
      </c>
    </row>
    <row r="218" spans="1:5">
      <c r="A218" s="4">
        <v>44986</v>
      </c>
      <c r="B218" s="3">
        <v>49221.3</v>
      </c>
      <c r="C218" t="s">
        <v>6</v>
      </c>
      <c r="D218" t="s">
        <v>19</v>
      </c>
      <c r="E218">
        <f t="shared" si="3"/>
        <v>2023</v>
      </c>
    </row>
    <row r="219" spans="1:5">
      <c r="A219" s="4">
        <v>44986</v>
      </c>
      <c r="B219" s="3">
        <v>753711.3</v>
      </c>
      <c r="C219" t="s">
        <v>6</v>
      </c>
      <c r="D219" t="s">
        <v>20</v>
      </c>
      <c r="E219">
        <f t="shared" si="3"/>
        <v>2023</v>
      </c>
    </row>
    <row r="220" spans="1:5">
      <c r="A220" s="4">
        <v>44986</v>
      </c>
      <c r="B220" s="3">
        <v>166987.5</v>
      </c>
      <c r="C220" t="s">
        <v>7</v>
      </c>
      <c r="D220" t="s">
        <v>19</v>
      </c>
      <c r="E220">
        <f t="shared" si="3"/>
        <v>2023</v>
      </c>
    </row>
    <row r="221" spans="1:5">
      <c r="A221" s="4">
        <v>44986</v>
      </c>
      <c r="B221" s="3">
        <v>1757046.3</v>
      </c>
      <c r="C221" t="s">
        <v>7</v>
      </c>
      <c r="D221" t="s">
        <v>20</v>
      </c>
      <c r="E221">
        <f t="shared" si="3"/>
        <v>2023</v>
      </c>
    </row>
    <row r="222" spans="1:5">
      <c r="A222" s="4">
        <v>44986</v>
      </c>
      <c r="B222" s="3">
        <v>1278.5</v>
      </c>
      <c r="C222" t="s">
        <v>8</v>
      </c>
      <c r="D222" t="s">
        <v>19</v>
      </c>
      <c r="E222">
        <f t="shared" si="3"/>
        <v>2023</v>
      </c>
    </row>
    <row r="223" spans="1:5">
      <c r="A223" s="4">
        <v>44986</v>
      </c>
      <c r="B223" s="3">
        <v>63408.800000000003</v>
      </c>
      <c r="C223" t="s">
        <v>8</v>
      </c>
      <c r="D223" t="s">
        <v>20</v>
      </c>
      <c r="E223">
        <f t="shared" si="3"/>
        <v>2023</v>
      </c>
    </row>
    <row r="224" spans="1:5">
      <c r="A224" s="4">
        <v>44986</v>
      </c>
      <c r="B224" s="3">
        <v>378310.9</v>
      </c>
      <c r="C224" t="s">
        <v>9</v>
      </c>
      <c r="D224" t="s">
        <v>19</v>
      </c>
      <c r="E224">
        <f t="shared" si="3"/>
        <v>2023</v>
      </c>
    </row>
    <row r="225" spans="1:5">
      <c r="A225" s="4">
        <v>44986</v>
      </c>
      <c r="B225" s="3">
        <v>2348155.7999999998</v>
      </c>
      <c r="C225" t="s">
        <v>9</v>
      </c>
      <c r="D225" t="s">
        <v>20</v>
      </c>
      <c r="E225">
        <f t="shared" si="3"/>
        <v>2023</v>
      </c>
    </row>
    <row r="226" spans="1:5">
      <c r="A226" s="4">
        <v>45017</v>
      </c>
      <c r="B226" s="3">
        <v>2939.6</v>
      </c>
      <c r="C226" t="s">
        <v>2</v>
      </c>
      <c r="D226" t="s">
        <v>19</v>
      </c>
      <c r="E226">
        <f t="shared" si="3"/>
        <v>2023</v>
      </c>
    </row>
    <row r="227" spans="1:5">
      <c r="A227" s="4">
        <v>45017</v>
      </c>
      <c r="B227" s="3">
        <v>80.8</v>
      </c>
      <c r="C227" t="s">
        <v>2</v>
      </c>
      <c r="D227" t="s">
        <v>20</v>
      </c>
      <c r="E227">
        <f t="shared" si="3"/>
        <v>2023</v>
      </c>
    </row>
    <row r="228" spans="1:5">
      <c r="A228" s="4">
        <v>45017</v>
      </c>
      <c r="B228" s="3">
        <v>8919.6</v>
      </c>
      <c r="C228" t="s">
        <v>3</v>
      </c>
      <c r="D228" t="s">
        <v>19</v>
      </c>
      <c r="E228">
        <f t="shared" si="3"/>
        <v>2023</v>
      </c>
    </row>
    <row r="229" spans="1:5">
      <c r="A229" s="4">
        <v>45017</v>
      </c>
      <c r="B229" s="3">
        <v>13160.7</v>
      </c>
      <c r="C229" t="s">
        <v>3</v>
      </c>
      <c r="D229" t="s">
        <v>20</v>
      </c>
      <c r="E229">
        <f t="shared" si="3"/>
        <v>2023</v>
      </c>
    </row>
    <row r="230" spans="1:5">
      <c r="A230" s="4">
        <v>45017</v>
      </c>
      <c r="B230" s="3">
        <v>0</v>
      </c>
      <c r="C230" t="s">
        <v>4</v>
      </c>
      <c r="D230" t="s">
        <v>19</v>
      </c>
      <c r="E230">
        <f t="shared" si="3"/>
        <v>2023</v>
      </c>
    </row>
    <row r="231" spans="1:5">
      <c r="A231" s="4">
        <v>45017</v>
      </c>
      <c r="B231" s="3">
        <v>0</v>
      </c>
      <c r="C231" t="s">
        <v>4</v>
      </c>
      <c r="D231" t="s">
        <v>20</v>
      </c>
      <c r="E231">
        <f t="shared" si="3"/>
        <v>2023</v>
      </c>
    </row>
    <row r="232" spans="1:5">
      <c r="A232" s="4">
        <v>45017</v>
      </c>
      <c r="B232" s="3">
        <v>20317.400000000001</v>
      </c>
      <c r="C232" t="s">
        <v>5</v>
      </c>
      <c r="D232" t="s">
        <v>19</v>
      </c>
      <c r="E232">
        <f t="shared" si="3"/>
        <v>2023</v>
      </c>
    </row>
    <row r="233" spans="1:5">
      <c r="A233" s="4">
        <v>45017</v>
      </c>
      <c r="B233" s="3">
        <v>87324.2</v>
      </c>
      <c r="C233" t="s">
        <v>5</v>
      </c>
      <c r="D233" t="s">
        <v>20</v>
      </c>
      <c r="E233">
        <f t="shared" si="3"/>
        <v>2023</v>
      </c>
    </row>
    <row r="234" spans="1:5">
      <c r="A234" s="4">
        <v>45017</v>
      </c>
      <c r="B234" s="3">
        <v>48538.6</v>
      </c>
      <c r="C234" t="s">
        <v>6</v>
      </c>
      <c r="D234" t="s">
        <v>19</v>
      </c>
      <c r="E234">
        <f t="shared" si="3"/>
        <v>2023</v>
      </c>
    </row>
    <row r="235" spans="1:5">
      <c r="A235" s="4">
        <v>45017</v>
      </c>
      <c r="B235" s="3">
        <v>755301.8</v>
      </c>
      <c r="C235" t="s">
        <v>6</v>
      </c>
      <c r="D235" t="s">
        <v>20</v>
      </c>
      <c r="E235">
        <f t="shared" si="3"/>
        <v>2023</v>
      </c>
    </row>
    <row r="236" spans="1:5">
      <c r="A236" s="4">
        <v>45017</v>
      </c>
      <c r="B236" s="3">
        <v>139736.6</v>
      </c>
      <c r="C236" t="s">
        <v>7</v>
      </c>
      <c r="D236" t="s">
        <v>19</v>
      </c>
      <c r="E236">
        <f t="shared" si="3"/>
        <v>2023</v>
      </c>
    </row>
    <row r="237" spans="1:5">
      <c r="A237" s="4">
        <v>45017</v>
      </c>
      <c r="B237" s="3">
        <v>1717018.3</v>
      </c>
      <c r="C237" t="s">
        <v>7</v>
      </c>
      <c r="D237" t="s">
        <v>20</v>
      </c>
      <c r="E237">
        <f t="shared" si="3"/>
        <v>2023</v>
      </c>
    </row>
    <row r="238" spans="1:5">
      <c r="A238" s="4">
        <v>45017</v>
      </c>
      <c r="B238" s="3">
        <v>1356.6</v>
      </c>
      <c r="C238" t="s">
        <v>8</v>
      </c>
      <c r="D238" t="s">
        <v>19</v>
      </c>
      <c r="E238">
        <f t="shared" si="3"/>
        <v>2023</v>
      </c>
    </row>
    <row r="239" spans="1:5">
      <c r="A239" s="4">
        <v>45017</v>
      </c>
      <c r="B239" s="3">
        <v>62687.7</v>
      </c>
      <c r="C239" t="s">
        <v>8</v>
      </c>
      <c r="D239" t="s">
        <v>20</v>
      </c>
      <c r="E239">
        <f t="shared" si="3"/>
        <v>2023</v>
      </c>
    </row>
    <row r="240" spans="1:5">
      <c r="A240" s="4">
        <v>45017</v>
      </c>
      <c r="B240" s="3">
        <v>362569.7</v>
      </c>
      <c r="C240" t="s">
        <v>9</v>
      </c>
      <c r="D240" t="s">
        <v>19</v>
      </c>
      <c r="E240">
        <f t="shared" si="3"/>
        <v>2023</v>
      </c>
    </row>
    <row r="241" spans="1:5">
      <c r="A241" s="4">
        <v>45017</v>
      </c>
      <c r="B241" s="3">
        <v>2266595.1</v>
      </c>
      <c r="C241" t="s">
        <v>9</v>
      </c>
      <c r="D241" t="s">
        <v>20</v>
      </c>
      <c r="E241">
        <f t="shared" si="3"/>
        <v>2023</v>
      </c>
    </row>
    <row r="242" spans="1:5">
      <c r="A242" s="4">
        <v>45047</v>
      </c>
      <c r="B242" s="3">
        <v>2794.2</v>
      </c>
      <c r="C242" t="s">
        <v>2</v>
      </c>
      <c r="D242" t="s">
        <v>19</v>
      </c>
      <c r="E242">
        <f t="shared" si="3"/>
        <v>2023</v>
      </c>
    </row>
    <row r="243" spans="1:5">
      <c r="A243" s="4">
        <v>45047</v>
      </c>
      <c r="B243" s="3">
        <v>89.9</v>
      </c>
      <c r="C243" t="s">
        <v>2</v>
      </c>
      <c r="D243" t="s">
        <v>20</v>
      </c>
      <c r="E243">
        <f t="shared" si="3"/>
        <v>2023</v>
      </c>
    </row>
    <row r="244" spans="1:5">
      <c r="A244" s="4">
        <v>45047</v>
      </c>
      <c r="B244" s="3">
        <v>8550.6</v>
      </c>
      <c r="C244" t="s">
        <v>3</v>
      </c>
      <c r="D244" t="s">
        <v>19</v>
      </c>
      <c r="E244">
        <f t="shared" si="3"/>
        <v>2023</v>
      </c>
    </row>
    <row r="245" spans="1:5">
      <c r="A245" s="4">
        <v>45047</v>
      </c>
      <c r="B245" s="3">
        <v>14595.3</v>
      </c>
      <c r="C245" t="s">
        <v>3</v>
      </c>
      <c r="D245" t="s">
        <v>20</v>
      </c>
      <c r="E245">
        <f t="shared" si="3"/>
        <v>2023</v>
      </c>
    </row>
    <row r="246" spans="1:5">
      <c r="A246" s="4">
        <v>45047</v>
      </c>
      <c r="B246" s="3">
        <v>0</v>
      </c>
      <c r="C246" t="s">
        <v>4</v>
      </c>
      <c r="D246" t="s">
        <v>19</v>
      </c>
      <c r="E246">
        <f t="shared" si="3"/>
        <v>2023</v>
      </c>
    </row>
    <row r="247" spans="1:5">
      <c r="A247" s="4">
        <v>45047</v>
      </c>
      <c r="B247" s="3">
        <v>0</v>
      </c>
      <c r="C247" t="s">
        <v>4</v>
      </c>
      <c r="D247" t="s">
        <v>20</v>
      </c>
      <c r="E247">
        <f t="shared" si="3"/>
        <v>2023</v>
      </c>
    </row>
    <row r="248" spans="1:5">
      <c r="A248" s="4">
        <v>45047</v>
      </c>
      <c r="B248" s="3">
        <v>18704.5</v>
      </c>
      <c r="C248" t="s">
        <v>5</v>
      </c>
      <c r="D248" t="s">
        <v>19</v>
      </c>
      <c r="E248">
        <f t="shared" si="3"/>
        <v>2023</v>
      </c>
    </row>
    <row r="249" spans="1:5">
      <c r="A249" s="4">
        <v>45047</v>
      </c>
      <c r="B249" s="3">
        <v>90436</v>
      </c>
      <c r="C249" t="s">
        <v>5</v>
      </c>
      <c r="D249" t="s">
        <v>20</v>
      </c>
      <c r="E249">
        <f t="shared" si="3"/>
        <v>2023</v>
      </c>
    </row>
    <row r="250" spans="1:5">
      <c r="A250" s="4">
        <v>45047</v>
      </c>
      <c r="B250" s="3">
        <v>49513.4</v>
      </c>
      <c r="C250" t="s">
        <v>6</v>
      </c>
      <c r="D250" t="s">
        <v>19</v>
      </c>
      <c r="E250">
        <f t="shared" si="3"/>
        <v>2023</v>
      </c>
    </row>
    <row r="251" spans="1:5">
      <c r="A251" s="4">
        <v>45047</v>
      </c>
      <c r="B251" s="3">
        <v>837903.3</v>
      </c>
      <c r="C251" t="s">
        <v>6</v>
      </c>
      <c r="D251" t="s">
        <v>20</v>
      </c>
      <c r="E251">
        <f t="shared" si="3"/>
        <v>2023</v>
      </c>
    </row>
    <row r="252" spans="1:5">
      <c r="A252" s="4">
        <v>45047</v>
      </c>
      <c r="B252" s="3">
        <v>111047.2</v>
      </c>
      <c r="C252" t="s">
        <v>7</v>
      </c>
      <c r="D252" t="s">
        <v>19</v>
      </c>
      <c r="E252">
        <f t="shared" si="3"/>
        <v>2023</v>
      </c>
    </row>
    <row r="253" spans="1:5">
      <c r="A253" s="4">
        <v>45047</v>
      </c>
      <c r="B253" s="3">
        <v>1881126.1</v>
      </c>
      <c r="C253" t="s">
        <v>7</v>
      </c>
      <c r="D253" t="s">
        <v>20</v>
      </c>
      <c r="E253">
        <f t="shared" si="3"/>
        <v>2023</v>
      </c>
    </row>
    <row r="254" spans="1:5">
      <c r="A254" s="4">
        <v>45047</v>
      </c>
      <c r="B254" s="3">
        <v>1381.2</v>
      </c>
      <c r="C254" t="s">
        <v>8</v>
      </c>
      <c r="D254" t="s">
        <v>19</v>
      </c>
      <c r="E254">
        <f t="shared" si="3"/>
        <v>2023</v>
      </c>
    </row>
    <row r="255" spans="1:5">
      <c r="A255" s="4">
        <v>45047</v>
      </c>
      <c r="B255" s="3">
        <v>69173</v>
      </c>
      <c r="C255" t="s">
        <v>8</v>
      </c>
      <c r="D255" t="s">
        <v>20</v>
      </c>
      <c r="E255">
        <f t="shared" si="3"/>
        <v>2023</v>
      </c>
    </row>
    <row r="256" spans="1:5">
      <c r="A256" s="4">
        <v>45047</v>
      </c>
      <c r="B256" s="3">
        <v>362229.4</v>
      </c>
      <c r="C256" t="s">
        <v>9</v>
      </c>
      <c r="D256" t="s">
        <v>19</v>
      </c>
      <c r="E256">
        <f t="shared" si="3"/>
        <v>2023</v>
      </c>
    </row>
    <row r="257" spans="1:5">
      <c r="A257" s="4">
        <v>45047</v>
      </c>
      <c r="B257" s="3">
        <v>2390411.9</v>
      </c>
      <c r="C257" t="s">
        <v>9</v>
      </c>
      <c r="D257" t="s">
        <v>20</v>
      </c>
      <c r="E257">
        <f t="shared" si="3"/>
        <v>2023</v>
      </c>
    </row>
    <row r="258" spans="1:5">
      <c r="A258" s="4">
        <v>45078</v>
      </c>
      <c r="B258" s="3">
        <v>2667.4</v>
      </c>
      <c r="C258" t="s">
        <v>2</v>
      </c>
      <c r="D258" t="s">
        <v>19</v>
      </c>
      <c r="E258">
        <f t="shared" si="3"/>
        <v>2023</v>
      </c>
    </row>
    <row r="259" spans="1:5">
      <c r="A259" s="4">
        <v>45078</v>
      </c>
      <c r="B259" s="3">
        <v>69.7</v>
      </c>
      <c r="C259" t="s">
        <v>2</v>
      </c>
      <c r="D259" t="s">
        <v>20</v>
      </c>
      <c r="E259">
        <f t="shared" ref="E259:E322" si="4">YEAR(A259)</f>
        <v>2023</v>
      </c>
    </row>
    <row r="260" spans="1:5">
      <c r="A260" s="4">
        <v>45078</v>
      </c>
      <c r="B260" s="3">
        <v>10916.7</v>
      </c>
      <c r="C260" t="s">
        <v>3</v>
      </c>
      <c r="D260" t="s">
        <v>19</v>
      </c>
      <c r="E260">
        <f t="shared" si="4"/>
        <v>2023</v>
      </c>
    </row>
    <row r="261" spans="1:5">
      <c r="A261" s="4">
        <v>45078</v>
      </c>
      <c r="B261" s="3">
        <v>15365.4</v>
      </c>
      <c r="C261" t="s">
        <v>3</v>
      </c>
      <c r="D261" t="s">
        <v>20</v>
      </c>
      <c r="E261">
        <f t="shared" si="4"/>
        <v>2023</v>
      </c>
    </row>
    <row r="262" spans="1:5">
      <c r="A262" s="4">
        <v>45078</v>
      </c>
      <c r="B262" s="3">
        <v>0</v>
      </c>
      <c r="C262" t="s">
        <v>4</v>
      </c>
      <c r="D262" t="s">
        <v>19</v>
      </c>
      <c r="E262">
        <f t="shared" si="4"/>
        <v>2023</v>
      </c>
    </row>
    <row r="263" spans="1:5">
      <c r="A263" s="4">
        <v>45078</v>
      </c>
      <c r="B263" s="3">
        <v>0</v>
      </c>
      <c r="C263" t="s">
        <v>4</v>
      </c>
      <c r="D263" t="s">
        <v>20</v>
      </c>
      <c r="E263">
        <f t="shared" si="4"/>
        <v>2023</v>
      </c>
    </row>
    <row r="264" spans="1:5">
      <c r="A264" s="4">
        <v>45078</v>
      </c>
      <c r="B264" s="3">
        <v>17967.900000000001</v>
      </c>
      <c r="C264" t="s">
        <v>5</v>
      </c>
      <c r="D264" t="s">
        <v>19</v>
      </c>
      <c r="E264">
        <f t="shared" si="4"/>
        <v>2023</v>
      </c>
    </row>
    <row r="265" spans="1:5">
      <c r="A265" s="4">
        <v>45078</v>
      </c>
      <c r="B265" s="3">
        <v>112663.5</v>
      </c>
      <c r="C265" t="s">
        <v>5</v>
      </c>
      <c r="D265" t="s">
        <v>20</v>
      </c>
      <c r="E265">
        <f t="shared" si="4"/>
        <v>2023</v>
      </c>
    </row>
    <row r="266" spans="1:5">
      <c r="A266" s="4">
        <v>45078</v>
      </c>
      <c r="B266" s="3">
        <v>52681.599999999999</v>
      </c>
      <c r="C266" t="s">
        <v>6</v>
      </c>
      <c r="D266" t="s">
        <v>19</v>
      </c>
      <c r="E266">
        <f t="shared" si="4"/>
        <v>2023</v>
      </c>
    </row>
    <row r="267" spans="1:5">
      <c r="A267" s="4">
        <v>45078</v>
      </c>
      <c r="B267" s="3">
        <v>824867.1</v>
      </c>
      <c r="C267" t="s">
        <v>6</v>
      </c>
      <c r="D267" t="s">
        <v>20</v>
      </c>
      <c r="E267">
        <f t="shared" si="4"/>
        <v>2023</v>
      </c>
    </row>
    <row r="268" spans="1:5">
      <c r="A268" s="4">
        <v>45078</v>
      </c>
      <c r="B268" s="3">
        <v>113244.3</v>
      </c>
      <c r="C268" t="s">
        <v>7</v>
      </c>
      <c r="D268" t="s">
        <v>19</v>
      </c>
      <c r="E268">
        <f t="shared" si="4"/>
        <v>2023</v>
      </c>
    </row>
    <row r="269" spans="1:5">
      <c r="A269" s="4">
        <v>45078</v>
      </c>
      <c r="B269" s="3">
        <v>1927884.3</v>
      </c>
      <c r="C269" t="s">
        <v>7</v>
      </c>
      <c r="D269" t="s">
        <v>20</v>
      </c>
      <c r="E269">
        <f t="shared" si="4"/>
        <v>2023</v>
      </c>
    </row>
    <row r="270" spans="1:5">
      <c r="A270" s="4">
        <v>45078</v>
      </c>
      <c r="B270" s="3">
        <v>1399.7</v>
      </c>
      <c r="C270" t="s">
        <v>8</v>
      </c>
      <c r="D270" t="s">
        <v>19</v>
      </c>
      <c r="E270">
        <f t="shared" si="4"/>
        <v>2023</v>
      </c>
    </row>
    <row r="271" spans="1:5">
      <c r="A271" s="4">
        <v>45078</v>
      </c>
      <c r="B271" s="3">
        <v>67673.5</v>
      </c>
      <c r="C271" t="s">
        <v>8</v>
      </c>
      <c r="D271" t="s">
        <v>20</v>
      </c>
      <c r="E271">
        <f t="shared" si="4"/>
        <v>2023</v>
      </c>
    </row>
    <row r="272" spans="1:5">
      <c r="A272" s="4">
        <v>45078</v>
      </c>
      <c r="B272" s="3">
        <v>357331.1</v>
      </c>
      <c r="C272" t="s">
        <v>9</v>
      </c>
      <c r="D272" t="s">
        <v>19</v>
      </c>
      <c r="E272">
        <f t="shared" si="4"/>
        <v>2023</v>
      </c>
    </row>
    <row r="273" spans="1:5">
      <c r="A273" s="4">
        <v>45078</v>
      </c>
      <c r="B273" s="3">
        <v>2446155.2000000002</v>
      </c>
      <c r="C273" t="s">
        <v>9</v>
      </c>
      <c r="D273" t="s">
        <v>20</v>
      </c>
      <c r="E273">
        <f t="shared" si="4"/>
        <v>2023</v>
      </c>
    </row>
    <row r="274" spans="1:5">
      <c r="A274" s="4">
        <v>45108</v>
      </c>
      <c r="B274" s="3">
        <v>2412</v>
      </c>
      <c r="C274" t="s">
        <v>2</v>
      </c>
      <c r="D274" t="s">
        <v>19</v>
      </c>
      <c r="E274">
        <f t="shared" si="4"/>
        <v>2023</v>
      </c>
    </row>
    <row r="275" spans="1:5">
      <c r="A275" s="4">
        <v>45108</v>
      </c>
      <c r="B275" s="3">
        <v>57.6</v>
      </c>
      <c r="C275" t="s">
        <v>2</v>
      </c>
      <c r="D275" t="s">
        <v>20</v>
      </c>
      <c r="E275">
        <f t="shared" si="4"/>
        <v>2023</v>
      </c>
    </row>
    <row r="276" spans="1:5">
      <c r="A276" s="4">
        <v>45108</v>
      </c>
      <c r="B276" s="3">
        <v>9192</v>
      </c>
      <c r="C276" t="s">
        <v>3</v>
      </c>
      <c r="D276" t="s">
        <v>19</v>
      </c>
      <c r="E276">
        <f t="shared" si="4"/>
        <v>2023</v>
      </c>
    </row>
    <row r="277" spans="1:5">
      <c r="A277" s="4">
        <v>45108</v>
      </c>
      <c r="B277" s="3">
        <v>14120.7</v>
      </c>
      <c r="C277" t="s">
        <v>3</v>
      </c>
      <c r="D277" t="s">
        <v>20</v>
      </c>
      <c r="E277">
        <f t="shared" si="4"/>
        <v>2023</v>
      </c>
    </row>
    <row r="278" spans="1:5">
      <c r="A278" s="4">
        <v>45108</v>
      </c>
      <c r="B278" s="3">
        <v>0.1</v>
      </c>
      <c r="C278" t="s">
        <v>4</v>
      </c>
      <c r="D278" t="s">
        <v>19</v>
      </c>
      <c r="E278">
        <f t="shared" si="4"/>
        <v>2023</v>
      </c>
    </row>
    <row r="279" spans="1:5">
      <c r="A279" s="4">
        <v>45108</v>
      </c>
      <c r="B279" s="3">
        <v>0</v>
      </c>
      <c r="C279" t="s">
        <v>4</v>
      </c>
      <c r="D279" t="s">
        <v>20</v>
      </c>
      <c r="E279">
        <f t="shared" si="4"/>
        <v>2023</v>
      </c>
    </row>
    <row r="280" spans="1:5">
      <c r="A280" s="4">
        <v>45108</v>
      </c>
      <c r="B280" s="3">
        <v>21818.2</v>
      </c>
      <c r="C280" t="s">
        <v>5</v>
      </c>
      <c r="D280" t="s">
        <v>19</v>
      </c>
      <c r="E280">
        <f t="shared" si="4"/>
        <v>2023</v>
      </c>
    </row>
    <row r="281" spans="1:5">
      <c r="A281" s="4">
        <v>45108</v>
      </c>
      <c r="B281" s="3">
        <v>102016.2</v>
      </c>
      <c r="C281" t="s">
        <v>5</v>
      </c>
      <c r="D281" t="s">
        <v>20</v>
      </c>
      <c r="E281">
        <f t="shared" si="4"/>
        <v>2023</v>
      </c>
    </row>
    <row r="282" spans="1:5">
      <c r="A282" s="4">
        <v>45108</v>
      </c>
      <c r="B282" s="3">
        <v>51301.599999999999</v>
      </c>
      <c r="C282" t="s">
        <v>6</v>
      </c>
      <c r="D282" t="s">
        <v>19</v>
      </c>
      <c r="E282">
        <f t="shared" si="4"/>
        <v>2023</v>
      </c>
    </row>
    <row r="283" spans="1:5">
      <c r="A283" s="4">
        <v>45108</v>
      </c>
      <c r="B283" s="3">
        <v>837084.5</v>
      </c>
      <c r="C283" t="s">
        <v>6</v>
      </c>
      <c r="D283" t="s">
        <v>20</v>
      </c>
      <c r="E283">
        <f t="shared" si="4"/>
        <v>2023</v>
      </c>
    </row>
    <row r="284" spans="1:5">
      <c r="A284" s="4">
        <v>45108</v>
      </c>
      <c r="B284" s="3">
        <v>103580.2</v>
      </c>
      <c r="C284" t="s">
        <v>7</v>
      </c>
      <c r="D284" t="s">
        <v>19</v>
      </c>
      <c r="E284">
        <f t="shared" si="4"/>
        <v>2023</v>
      </c>
    </row>
    <row r="285" spans="1:5">
      <c r="A285" s="4">
        <v>45108</v>
      </c>
      <c r="B285" s="3">
        <v>1906300.6</v>
      </c>
      <c r="C285" t="s">
        <v>7</v>
      </c>
      <c r="D285" t="s">
        <v>20</v>
      </c>
      <c r="E285">
        <f t="shared" si="4"/>
        <v>2023</v>
      </c>
    </row>
    <row r="286" spans="1:5">
      <c r="A286" s="4">
        <v>45108</v>
      </c>
      <c r="B286" s="3">
        <v>1362.1</v>
      </c>
      <c r="C286" t="s">
        <v>8</v>
      </c>
      <c r="D286" t="s">
        <v>19</v>
      </c>
      <c r="E286">
        <f t="shared" si="4"/>
        <v>2023</v>
      </c>
    </row>
    <row r="287" spans="1:5">
      <c r="A287" s="4">
        <v>45108</v>
      </c>
      <c r="B287" s="3">
        <v>65397.1</v>
      </c>
      <c r="C287" t="s">
        <v>8</v>
      </c>
      <c r="D287" t="s">
        <v>20</v>
      </c>
      <c r="E287">
        <f t="shared" si="4"/>
        <v>2023</v>
      </c>
    </row>
    <row r="288" spans="1:5">
      <c r="A288" s="4">
        <v>45108</v>
      </c>
      <c r="B288" s="3">
        <v>297634.40000000002</v>
      </c>
      <c r="C288" t="s">
        <v>9</v>
      </c>
      <c r="D288" t="s">
        <v>19</v>
      </c>
      <c r="E288">
        <f t="shared" si="4"/>
        <v>2023</v>
      </c>
    </row>
    <row r="289" spans="1:5">
      <c r="A289" s="4">
        <v>45108</v>
      </c>
      <c r="B289" s="3">
        <v>2479840.9</v>
      </c>
      <c r="C289" t="s">
        <v>9</v>
      </c>
      <c r="D289" t="s">
        <v>20</v>
      </c>
      <c r="E289">
        <f t="shared" si="4"/>
        <v>2023</v>
      </c>
    </row>
    <row r="290" spans="1:5">
      <c r="A290" s="4">
        <v>45139</v>
      </c>
      <c r="B290" s="3">
        <v>2899.2</v>
      </c>
      <c r="C290" t="s">
        <v>2</v>
      </c>
      <c r="D290" t="s">
        <v>19</v>
      </c>
      <c r="E290">
        <f t="shared" si="4"/>
        <v>2023</v>
      </c>
    </row>
    <row r="291" spans="1:5">
      <c r="A291" s="4">
        <v>45139</v>
      </c>
      <c r="B291" s="3">
        <v>42.2</v>
      </c>
      <c r="C291" t="s">
        <v>2</v>
      </c>
      <c r="D291" t="s">
        <v>20</v>
      </c>
      <c r="E291">
        <f t="shared" si="4"/>
        <v>2023</v>
      </c>
    </row>
    <row r="292" spans="1:5">
      <c r="A292" s="4">
        <v>45139</v>
      </c>
      <c r="B292" s="3">
        <v>10257.700000000001</v>
      </c>
      <c r="C292" t="s">
        <v>3</v>
      </c>
      <c r="D292" t="s">
        <v>19</v>
      </c>
      <c r="E292">
        <f t="shared" si="4"/>
        <v>2023</v>
      </c>
    </row>
    <row r="293" spans="1:5">
      <c r="A293" s="4">
        <v>45139</v>
      </c>
      <c r="B293" s="3">
        <v>14381.6</v>
      </c>
      <c r="C293" t="s">
        <v>3</v>
      </c>
      <c r="D293" t="s">
        <v>20</v>
      </c>
      <c r="E293">
        <f t="shared" si="4"/>
        <v>2023</v>
      </c>
    </row>
    <row r="294" spans="1:5">
      <c r="A294" s="4">
        <v>45139</v>
      </c>
      <c r="B294" s="3">
        <v>0.1</v>
      </c>
      <c r="C294" t="s">
        <v>4</v>
      </c>
      <c r="D294" t="s">
        <v>19</v>
      </c>
      <c r="E294">
        <f t="shared" si="4"/>
        <v>2023</v>
      </c>
    </row>
    <row r="295" spans="1:5">
      <c r="A295" s="4">
        <v>45139</v>
      </c>
      <c r="B295" s="3">
        <v>0</v>
      </c>
      <c r="C295" t="s">
        <v>4</v>
      </c>
      <c r="D295" t="s">
        <v>20</v>
      </c>
      <c r="E295">
        <f t="shared" si="4"/>
        <v>2023</v>
      </c>
    </row>
    <row r="296" spans="1:5">
      <c r="A296" s="4">
        <v>45139</v>
      </c>
      <c r="B296" s="3">
        <v>22685.9</v>
      </c>
      <c r="C296" t="s">
        <v>5</v>
      </c>
      <c r="D296" t="s">
        <v>19</v>
      </c>
      <c r="E296">
        <f t="shared" si="4"/>
        <v>2023</v>
      </c>
    </row>
    <row r="297" spans="1:5">
      <c r="A297" s="4">
        <v>45139</v>
      </c>
      <c r="B297" s="3">
        <v>97379.5</v>
      </c>
      <c r="C297" t="s">
        <v>5</v>
      </c>
      <c r="D297" t="s">
        <v>20</v>
      </c>
      <c r="E297">
        <f t="shared" si="4"/>
        <v>2023</v>
      </c>
    </row>
    <row r="298" spans="1:5">
      <c r="A298" s="4">
        <v>45139</v>
      </c>
      <c r="B298" s="3">
        <v>64025.8</v>
      </c>
      <c r="C298" t="s">
        <v>6</v>
      </c>
      <c r="D298" t="s">
        <v>19</v>
      </c>
      <c r="E298">
        <f t="shared" si="4"/>
        <v>2023</v>
      </c>
    </row>
    <row r="299" spans="1:5">
      <c r="A299" s="4">
        <v>45139</v>
      </c>
      <c r="B299" s="3">
        <v>863184.8</v>
      </c>
      <c r="C299" t="s">
        <v>6</v>
      </c>
      <c r="D299" t="s">
        <v>20</v>
      </c>
      <c r="E299">
        <f t="shared" si="4"/>
        <v>2023</v>
      </c>
    </row>
    <row r="300" spans="1:5">
      <c r="A300" s="4">
        <v>45139</v>
      </c>
      <c r="B300" s="3">
        <v>123127.9</v>
      </c>
      <c r="C300" t="s">
        <v>7</v>
      </c>
      <c r="D300" t="s">
        <v>19</v>
      </c>
      <c r="E300">
        <f t="shared" si="4"/>
        <v>2023</v>
      </c>
    </row>
    <row r="301" spans="1:5">
      <c r="A301" s="4">
        <v>45139</v>
      </c>
      <c r="B301" s="3">
        <v>2022545.7</v>
      </c>
      <c r="C301" t="s">
        <v>7</v>
      </c>
      <c r="D301" t="s">
        <v>20</v>
      </c>
      <c r="E301">
        <f t="shared" si="4"/>
        <v>2023</v>
      </c>
    </row>
    <row r="302" spans="1:5">
      <c r="A302" s="4">
        <v>45139</v>
      </c>
      <c r="B302" s="3">
        <v>1710.1</v>
      </c>
      <c r="C302" t="s">
        <v>8</v>
      </c>
      <c r="D302" t="s">
        <v>19</v>
      </c>
      <c r="E302">
        <f t="shared" si="4"/>
        <v>2023</v>
      </c>
    </row>
    <row r="303" spans="1:5">
      <c r="A303" s="4">
        <v>45139</v>
      </c>
      <c r="B303" s="3">
        <v>67842.8</v>
      </c>
      <c r="C303" t="s">
        <v>8</v>
      </c>
      <c r="D303" t="s">
        <v>20</v>
      </c>
      <c r="E303">
        <f t="shared" si="4"/>
        <v>2023</v>
      </c>
    </row>
    <row r="304" spans="1:5">
      <c r="A304" s="4">
        <v>45139</v>
      </c>
      <c r="B304" s="3">
        <v>321002.8</v>
      </c>
      <c r="C304" t="s">
        <v>9</v>
      </c>
      <c r="D304" t="s">
        <v>19</v>
      </c>
      <c r="E304">
        <f t="shared" si="4"/>
        <v>2023</v>
      </c>
    </row>
    <row r="305" spans="1:5">
      <c r="A305" s="4">
        <v>45139</v>
      </c>
      <c r="B305" s="3">
        <v>2602625.4</v>
      </c>
      <c r="C305" t="s">
        <v>9</v>
      </c>
      <c r="D305" t="s">
        <v>20</v>
      </c>
      <c r="E305">
        <f t="shared" si="4"/>
        <v>2023</v>
      </c>
    </row>
    <row r="306" spans="1:5">
      <c r="A306" s="4">
        <v>45170</v>
      </c>
      <c r="B306" s="3">
        <v>3192.4</v>
      </c>
      <c r="C306" t="s">
        <v>2</v>
      </c>
      <c r="D306" t="s">
        <v>19</v>
      </c>
      <c r="E306">
        <f t="shared" si="4"/>
        <v>2023</v>
      </c>
    </row>
    <row r="307" spans="1:5">
      <c r="A307" s="4">
        <v>45170</v>
      </c>
      <c r="B307" s="3">
        <v>32.299999999999997</v>
      </c>
      <c r="C307" t="s">
        <v>2</v>
      </c>
      <c r="D307" t="s">
        <v>20</v>
      </c>
      <c r="E307">
        <f t="shared" si="4"/>
        <v>2023</v>
      </c>
    </row>
    <row r="308" spans="1:5">
      <c r="A308" s="4">
        <v>45170</v>
      </c>
      <c r="B308" s="3">
        <v>14035.8</v>
      </c>
      <c r="C308" t="s">
        <v>3</v>
      </c>
      <c r="D308" t="s">
        <v>19</v>
      </c>
      <c r="E308">
        <f t="shared" si="4"/>
        <v>2023</v>
      </c>
    </row>
    <row r="309" spans="1:5">
      <c r="A309" s="4">
        <v>45170</v>
      </c>
      <c r="B309" s="3">
        <v>16962.400000000001</v>
      </c>
      <c r="C309" t="s">
        <v>3</v>
      </c>
      <c r="D309" t="s">
        <v>20</v>
      </c>
      <c r="E309">
        <f t="shared" si="4"/>
        <v>2023</v>
      </c>
    </row>
    <row r="310" spans="1:5">
      <c r="A310" s="4">
        <v>45170</v>
      </c>
      <c r="B310" s="3">
        <v>0.1</v>
      </c>
      <c r="C310" t="s">
        <v>4</v>
      </c>
      <c r="D310" t="s">
        <v>19</v>
      </c>
      <c r="E310">
        <f t="shared" si="4"/>
        <v>2023</v>
      </c>
    </row>
    <row r="311" spans="1:5">
      <c r="A311" s="4">
        <v>45170</v>
      </c>
      <c r="B311" s="3">
        <v>0</v>
      </c>
      <c r="C311" t="s">
        <v>4</v>
      </c>
      <c r="D311" t="s">
        <v>20</v>
      </c>
      <c r="E311">
        <f t="shared" si="4"/>
        <v>2023</v>
      </c>
    </row>
    <row r="312" spans="1:5">
      <c r="A312" s="4">
        <v>45170</v>
      </c>
      <c r="B312" s="3">
        <v>21282</v>
      </c>
      <c r="C312" t="s">
        <v>5</v>
      </c>
      <c r="D312" t="s">
        <v>19</v>
      </c>
      <c r="E312">
        <f t="shared" si="4"/>
        <v>2023</v>
      </c>
    </row>
    <row r="313" spans="1:5">
      <c r="A313" s="4">
        <v>45170</v>
      </c>
      <c r="B313" s="3">
        <v>97357.3</v>
      </c>
      <c r="C313" t="s">
        <v>5</v>
      </c>
      <c r="D313" t="s">
        <v>20</v>
      </c>
      <c r="E313">
        <f t="shared" si="4"/>
        <v>2023</v>
      </c>
    </row>
    <row r="314" spans="1:5">
      <c r="A314" s="4">
        <v>45170</v>
      </c>
      <c r="B314" s="3">
        <v>64616.2</v>
      </c>
      <c r="C314" t="s">
        <v>6</v>
      </c>
      <c r="D314" t="s">
        <v>19</v>
      </c>
      <c r="E314">
        <f t="shared" si="4"/>
        <v>2023</v>
      </c>
    </row>
    <row r="315" spans="1:5">
      <c r="A315" s="4">
        <v>45170</v>
      </c>
      <c r="B315" s="3">
        <v>951562.3</v>
      </c>
      <c r="C315" t="s">
        <v>6</v>
      </c>
      <c r="D315" t="s">
        <v>20</v>
      </c>
      <c r="E315">
        <f t="shared" si="4"/>
        <v>2023</v>
      </c>
    </row>
    <row r="316" spans="1:5">
      <c r="A316" s="4">
        <v>45170</v>
      </c>
      <c r="B316" s="3">
        <v>126093.9</v>
      </c>
      <c r="C316" t="s">
        <v>7</v>
      </c>
      <c r="D316" t="s">
        <v>19</v>
      </c>
      <c r="E316">
        <f t="shared" si="4"/>
        <v>2023</v>
      </c>
    </row>
    <row r="317" spans="1:5">
      <c r="A317" s="4">
        <v>45170</v>
      </c>
      <c r="B317" s="3">
        <v>2096630.8</v>
      </c>
      <c r="C317" t="s">
        <v>7</v>
      </c>
      <c r="D317" t="s">
        <v>20</v>
      </c>
      <c r="E317">
        <f t="shared" si="4"/>
        <v>2023</v>
      </c>
    </row>
    <row r="318" spans="1:5">
      <c r="A318" s="4">
        <v>45170</v>
      </c>
      <c r="B318" s="3">
        <v>1752.1</v>
      </c>
      <c r="C318" t="s">
        <v>8</v>
      </c>
      <c r="D318" t="s">
        <v>19</v>
      </c>
      <c r="E318">
        <f t="shared" si="4"/>
        <v>2023</v>
      </c>
    </row>
    <row r="319" spans="1:5">
      <c r="A319" s="4">
        <v>45170</v>
      </c>
      <c r="B319" s="3">
        <v>71313.899999999994</v>
      </c>
      <c r="C319" t="s">
        <v>8</v>
      </c>
      <c r="D319" t="s">
        <v>20</v>
      </c>
      <c r="E319">
        <f t="shared" si="4"/>
        <v>2023</v>
      </c>
    </row>
    <row r="320" spans="1:5">
      <c r="A320" s="4">
        <v>45170</v>
      </c>
      <c r="B320" s="3">
        <v>347461.9</v>
      </c>
      <c r="C320" t="s">
        <v>9</v>
      </c>
      <c r="D320" t="s">
        <v>19</v>
      </c>
      <c r="E320">
        <f t="shared" si="4"/>
        <v>2023</v>
      </c>
    </row>
    <row r="321" spans="1:5">
      <c r="A321" s="4">
        <v>45170</v>
      </c>
      <c r="B321" s="3">
        <v>2588789</v>
      </c>
      <c r="C321" t="s">
        <v>9</v>
      </c>
      <c r="D321" t="s">
        <v>20</v>
      </c>
      <c r="E321">
        <f t="shared" si="4"/>
        <v>2023</v>
      </c>
    </row>
    <row r="322" spans="1:5">
      <c r="A322" s="4">
        <v>45200</v>
      </c>
      <c r="B322" s="3">
        <v>3010.8</v>
      </c>
      <c r="C322" t="s">
        <v>2</v>
      </c>
      <c r="D322" t="s">
        <v>19</v>
      </c>
      <c r="E322">
        <f t="shared" si="4"/>
        <v>2023</v>
      </c>
    </row>
    <row r="323" spans="1:5">
      <c r="A323" s="4">
        <v>45200</v>
      </c>
      <c r="B323" s="3">
        <v>32.299999999999997</v>
      </c>
      <c r="C323" t="s">
        <v>2</v>
      </c>
      <c r="D323" t="s">
        <v>20</v>
      </c>
      <c r="E323">
        <f t="shared" ref="E323:E386" si="5">YEAR(A323)</f>
        <v>2023</v>
      </c>
    </row>
    <row r="324" spans="1:5">
      <c r="A324" s="4">
        <v>45200</v>
      </c>
      <c r="B324" s="3">
        <v>14465.7</v>
      </c>
      <c r="C324" t="s">
        <v>3</v>
      </c>
      <c r="D324" t="s">
        <v>19</v>
      </c>
      <c r="E324">
        <f t="shared" si="5"/>
        <v>2023</v>
      </c>
    </row>
    <row r="325" spans="1:5">
      <c r="A325" s="4">
        <v>45200</v>
      </c>
      <c r="B325" s="3">
        <v>20162.3</v>
      </c>
      <c r="C325" t="s">
        <v>3</v>
      </c>
      <c r="D325" t="s">
        <v>20</v>
      </c>
      <c r="E325">
        <f t="shared" si="5"/>
        <v>2023</v>
      </c>
    </row>
    <row r="326" spans="1:5">
      <c r="A326" s="4">
        <v>45200</v>
      </c>
      <c r="B326" s="3">
        <v>0.1</v>
      </c>
      <c r="C326" t="s">
        <v>4</v>
      </c>
      <c r="D326" t="s">
        <v>19</v>
      </c>
      <c r="E326">
        <f t="shared" si="5"/>
        <v>2023</v>
      </c>
    </row>
    <row r="327" spans="1:5">
      <c r="A327" s="4">
        <v>45200</v>
      </c>
      <c r="B327" s="3">
        <v>0</v>
      </c>
      <c r="C327" t="s">
        <v>4</v>
      </c>
      <c r="D327" t="s">
        <v>20</v>
      </c>
      <c r="E327">
        <f t="shared" si="5"/>
        <v>2023</v>
      </c>
    </row>
    <row r="328" spans="1:5">
      <c r="A328" s="4">
        <v>45200</v>
      </c>
      <c r="B328" s="3">
        <v>21706.9</v>
      </c>
      <c r="C328" t="s">
        <v>5</v>
      </c>
      <c r="D328" t="s">
        <v>19</v>
      </c>
      <c r="E328">
        <f t="shared" si="5"/>
        <v>2023</v>
      </c>
    </row>
    <row r="329" spans="1:5">
      <c r="A329" s="4">
        <v>45200</v>
      </c>
      <c r="B329" s="3">
        <v>102776</v>
      </c>
      <c r="C329" t="s">
        <v>5</v>
      </c>
      <c r="D329" t="s">
        <v>20</v>
      </c>
      <c r="E329">
        <f t="shared" si="5"/>
        <v>2023</v>
      </c>
    </row>
    <row r="330" spans="1:5">
      <c r="A330" s="4">
        <v>45200</v>
      </c>
      <c r="B330" s="3">
        <v>69558.7</v>
      </c>
      <c r="C330" t="s">
        <v>6</v>
      </c>
      <c r="D330" t="s">
        <v>19</v>
      </c>
      <c r="E330">
        <f t="shared" si="5"/>
        <v>2023</v>
      </c>
    </row>
    <row r="331" spans="1:5">
      <c r="A331" s="4">
        <v>45200</v>
      </c>
      <c r="B331" s="3">
        <v>1017871</v>
      </c>
      <c r="C331" t="s">
        <v>6</v>
      </c>
      <c r="D331" t="s">
        <v>20</v>
      </c>
      <c r="E331">
        <f t="shared" si="5"/>
        <v>2023</v>
      </c>
    </row>
    <row r="332" spans="1:5">
      <c r="A332" s="4">
        <v>45200</v>
      </c>
      <c r="B332" s="3">
        <v>129595.5</v>
      </c>
      <c r="C332" t="s">
        <v>7</v>
      </c>
      <c r="D332" t="s">
        <v>19</v>
      </c>
      <c r="E332">
        <f t="shared" si="5"/>
        <v>2023</v>
      </c>
    </row>
    <row r="333" spans="1:5">
      <c r="A333" s="4">
        <v>45200</v>
      </c>
      <c r="B333" s="3">
        <v>2084465</v>
      </c>
      <c r="C333" t="s">
        <v>7</v>
      </c>
      <c r="D333" t="s">
        <v>20</v>
      </c>
      <c r="E333">
        <f t="shared" si="5"/>
        <v>2023</v>
      </c>
    </row>
    <row r="334" spans="1:5">
      <c r="A334" s="4">
        <v>45200</v>
      </c>
      <c r="B334" s="3">
        <v>1751.1</v>
      </c>
      <c r="C334" t="s">
        <v>8</v>
      </c>
      <c r="D334" t="s">
        <v>19</v>
      </c>
      <c r="E334">
        <f t="shared" si="5"/>
        <v>2023</v>
      </c>
    </row>
    <row r="335" spans="1:5">
      <c r="A335" s="4">
        <v>45200</v>
      </c>
      <c r="B335" s="3">
        <v>74501.5</v>
      </c>
      <c r="C335" t="s">
        <v>8</v>
      </c>
      <c r="D335" t="s">
        <v>20</v>
      </c>
      <c r="E335">
        <f t="shared" si="5"/>
        <v>2023</v>
      </c>
    </row>
    <row r="336" spans="1:5">
      <c r="A336" s="4">
        <v>45200</v>
      </c>
      <c r="B336" s="3">
        <v>350281.4</v>
      </c>
      <c r="C336" t="s">
        <v>9</v>
      </c>
      <c r="D336" t="s">
        <v>19</v>
      </c>
      <c r="E336">
        <f t="shared" si="5"/>
        <v>2023</v>
      </c>
    </row>
    <row r="337" spans="1:5">
      <c r="A337" s="4">
        <v>45200</v>
      </c>
      <c r="B337" s="3">
        <v>2689297.9</v>
      </c>
      <c r="C337" t="s">
        <v>9</v>
      </c>
      <c r="D337" t="s">
        <v>20</v>
      </c>
      <c r="E337">
        <f t="shared" si="5"/>
        <v>2023</v>
      </c>
    </row>
    <row r="338" spans="1:5">
      <c r="A338" s="4">
        <v>45231</v>
      </c>
      <c r="B338" s="3">
        <v>3094.9</v>
      </c>
      <c r="C338" t="s">
        <v>2</v>
      </c>
      <c r="D338" t="s">
        <v>19</v>
      </c>
      <c r="E338">
        <f t="shared" si="5"/>
        <v>2023</v>
      </c>
    </row>
    <row r="339" spans="1:5">
      <c r="A339" s="4">
        <v>45231</v>
      </c>
      <c r="B339" s="3">
        <v>22.9</v>
      </c>
      <c r="C339" t="s">
        <v>2</v>
      </c>
      <c r="D339" t="s">
        <v>20</v>
      </c>
      <c r="E339">
        <f t="shared" si="5"/>
        <v>2023</v>
      </c>
    </row>
    <row r="340" spans="1:5">
      <c r="A340" s="4">
        <v>45231</v>
      </c>
      <c r="B340" s="3">
        <v>13841.8</v>
      </c>
      <c r="C340" t="s">
        <v>3</v>
      </c>
      <c r="D340" t="s">
        <v>19</v>
      </c>
      <c r="E340">
        <f t="shared" si="5"/>
        <v>2023</v>
      </c>
    </row>
    <row r="341" spans="1:5">
      <c r="A341" s="4">
        <v>45231</v>
      </c>
      <c r="B341" s="3">
        <v>16857.8</v>
      </c>
      <c r="C341" t="s">
        <v>3</v>
      </c>
      <c r="D341" t="s">
        <v>20</v>
      </c>
      <c r="E341">
        <f t="shared" si="5"/>
        <v>2023</v>
      </c>
    </row>
    <row r="342" spans="1:5">
      <c r="A342" s="4">
        <v>45231</v>
      </c>
      <c r="B342" s="3">
        <v>0.1</v>
      </c>
      <c r="C342" t="s">
        <v>4</v>
      </c>
      <c r="D342" t="s">
        <v>19</v>
      </c>
      <c r="E342">
        <f t="shared" si="5"/>
        <v>2023</v>
      </c>
    </row>
    <row r="343" spans="1:5">
      <c r="A343" s="4">
        <v>45231</v>
      </c>
      <c r="B343" s="3">
        <v>0</v>
      </c>
      <c r="C343" t="s">
        <v>4</v>
      </c>
      <c r="D343" t="s">
        <v>20</v>
      </c>
      <c r="E343">
        <f t="shared" si="5"/>
        <v>2023</v>
      </c>
    </row>
    <row r="344" spans="1:5">
      <c r="A344" s="4">
        <v>45231</v>
      </c>
      <c r="B344" s="3">
        <v>20185.2</v>
      </c>
      <c r="C344" t="s">
        <v>5</v>
      </c>
      <c r="D344" t="s">
        <v>19</v>
      </c>
      <c r="E344">
        <f t="shared" si="5"/>
        <v>2023</v>
      </c>
    </row>
    <row r="345" spans="1:5">
      <c r="A345" s="4">
        <v>45231</v>
      </c>
      <c r="B345" s="3">
        <v>91437.2</v>
      </c>
      <c r="C345" t="s">
        <v>5</v>
      </c>
      <c r="D345" t="s">
        <v>20</v>
      </c>
      <c r="E345">
        <f t="shared" si="5"/>
        <v>2023</v>
      </c>
    </row>
    <row r="346" spans="1:5">
      <c r="A346" s="4">
        <v>45231</v>
      </c>
      <c r="B346" s="3">
        <v>67666.600000000006</v>
      </c>
      <c r="C346" t="s">
        <v>6</v>
      </c>
      <c r="D346" t="s">
        <v>19</v>
      </c>
      <c r="E346">
        <f t="shared" si="5"/>
        <v>2023</v>
      </c>
    </row>
    <row r="347" spans="1:5">
      <c r="A347" s="4">
        <v>45231</v>
      </c>
      <c r="B347" s="3">
        <v>930912.4</v>
      </c>
      <c r="C347" t="s">
        <v>6</v>
      </c>
      <c r="D347" t="s">
        <v>20</v>
      </c>
      <c r="E347">
        <f t="shared" si="5"/>
        <v>2023</v>
      </c>
    </row>
    <row r="348" spans="1:5">
      <c r="A348" s="4">
        <v>45231</v>
      </c>
      <c r="B348" s="3">
        <v>134538.1</v>
      </c>
      <c r="C348" t="s">
        <v>7</v>
      </c>
      <c r="D348" t="s">
        <v>19</v>
      </c>
      <c r="E348">
        <f t="shared" si="5"/>
        <v>2023</v>
      </c>
    </row>
    <row r="349" spans="1:5">
      <c r="A349" s="4">
        <v>45231</v>
      </c>
      <c r="B349" s="3">
        <v>2046244.8</v>
      </c>
      <c r="C349" t="s">
        <v>7</v>
      </c>
      <c r="D349" t="s">
        <v>20</v>
      </c>
      <c r="E349">
        <f t="shared" si="5"/>
        <v>2023</v>
      </c>
    </row>
    <row r="350" spans="1:5">
      <c r="A350" s="4">
        <v>45231</v>
      </c>
      <c r="B350" s="3">
        <v>1709.6</v>
      </c>
      <c r="C350" t="s">
        <v>8</v>
      </c>
      <c r="D350" t="s">
        <v>19</v>
      </c>
      <c r="E350">
        <f t="shared" si="5"/>
        <v>2023</v>
      </c>
    </row>
    <row r="351" spans="1:5">
      <c r="A351" s="4">
        <v>45231</v>
      </c>
      <c r="B351" s="3">
        <v>73091.399999999994</v>
      </c>
      <c r="C351" t="s">
        <v>8</v>
      </c>
      <c r="D351" t="s">
        <v>20</v>
      </c>
      <c r="E351">
        <f t="shared" si="5"/>
        <v>2023</v>
      </c>
    </row>
    <row r="352" spans="1:5">
      <c r="A352" s="4">
        <v>45231</v>
      </c>
      <c r="B352" s="3">
        <v>347812</v>
      </c>
      <c r="C352" t="s">
        <v>9</v>
      </c>
      <c r="D352" t="s">
        <v>19</v>
      </c>
      <c r="E352">
        <f t="shared" si="5"/>
        <v>2023</v>
      </c>
    </row>
    <row r="353" spans="1:5">
      <c r="A353" s="4">
        <v>45231</v>
      </c>
      <c r="B353" s="3">
        <v>2633901.9</v>
      </c>
      <c r="C353" t="s">
        <v>9</v>
      </c>
      <c r="D353" t="s">
        <v>20</v>
      </c>
      <c r="E353">
        <f t="shared" si="5"/>
        <v>2023</v>
      </c>
    </row>
    <row r="354" spans="1:5">
      <c r="A354" s="4">
        <v>45292</v>
      </c>
      <c r="B354" s="3">
        <v>3273.7</v>
      </c>
      <c r="C354" t="s">
        <v>2</v>
      </c>
      <c r="D354" t="s">
        <v>19</v>
      </c>
      <c r="E354">
        <f t="shared" si="5"/>
        <v>2024</v>
      </c>
    </row>
    <row r="355" spans="1:5">
      <c r="A355" s="4">
        <v>45292</v>
      </c>
      <c r="B355" s="3">
        <v>23</v>
      </c>
      <c r="C355" t="s">
        <v>2</v>
      </c>
      <c r="D355" t="s">
        <v>20</v>
      </c>
      <c r="E355">
        <f t="shared" si="5"/>
        <v>2024</v>
      </c>
    </row>
    <row r="356" spans="1:5">
      <c r="A356" s="4">
        <v>45292</v>
      </c>
      <c r="B356" s="3">
        <v>17146.7</v>
      </c>
      <c r="C356" t="s">
        <v>3</v>
      </c>
      <c r="D356" t="s">
        <v>19</v>
      </c>
      <c r="E356">
        <f t="shared" si="5"/>
        <v>2024</v>
      </c>
    </row>
    <row r="357" spans="1:5">
      <c r="A357" s="4">
        <v>45292</v>
      </c>
      <c r="B357" s="3">
        <v>16150.6</v>
      </c>
      <c r="C357" t="s">
        <v>3</v>
      </c>
      <c r="D357" t="s">
        <v>20</v>
      </c>
      <c r="E357">
        <f t="shared" si="5"/>
        <v>2024</v>
      </c>
    </row>
    <row r="358" spans="1:5">
      <c r="A358" s="4">
        <v>45292</v>
      </c>
      <c r="B358" s="3">
        <v>0.4</v>
      </c>
      <c r="C358" t="s">
        <v>4</v>
      </c>
      <c r="D358" t="s">
        <v>19</v>
      </c>
      <c r="E358">
        <f t="shared" si="5"/>
        <v>2024</v>
      </c>
    </row>
    <row r="359" spans="1:5">
      <c r="A359" s="4">
        <v>45292</v>
      </c>
      <c r="B359" s="3">
        <v>0</v>
      </c>
      <c r="C359" t="s">
        <v>4</v>
      </c>
      <c r="D359" t="s">
        <v>20</v>
      </c>
      <c r="E359">
        <f t="shared" si="5"/>
        <v>2024</v>
      </c>
    </row>
    <row r="360" spans="1:5">
      <c r="A360" s="4">
        <v>45292</v>
      </c>
      <c r="B360" s="3">
        <v>20374.3</v>
      </c>
      <c r="C360" t="s">
        <v>5</v>
      </c>
      <c r="D360" t="s">
        <v>19</v>
      </c>
      <c r="E360">
        <f t="shared" si="5"/>
        <v>2024</v>
      </c>
    </row>
    <row r="361" spans="1:5">
      <c r="A361" s="4">
        <v>45292</v>
      </c>
      <c r="B361" s="3">
        <v>90894.8</v>
      </c>
      <c r="C361" t="s">
        <v>5</v>
      </c>
      <c r="D361" t="s">
        <v>20</v>
      </c>
      <c r="E361">
        <f t="shared" si="5"/>
        <v>2024</v>
      </c>
    </row>
    <row r="362" spans="1:5">
      <c r="A362" s="4">
        <v>45292</v>
      </c>
      <c r="B362" s="3">
        <v>67149.100000000006</v>
      </c>
      <c r="C362" t="s">
        <v>6</v>
      </c>
      <c r="D362" t="s">
        <v>19</v>
      </c>
      <c r="E362">
        <f t="shared" si="5"/>
        <v>2024</v>
      </c>
    </row>
    <row r="363" spans="1:5">
      <c r="A363" s="4">
        <v>45292</v>
      </c>
      <c r="B363" s="3">
        <v>978747.1</v>
      </c>
      <c r="C363" t="s">
        <v>6</v>
      </c>
      <c r="D363" t="s">
        <v>20</v>
      </c>
      <c r="E363">
        <f t="shared" si="5"/>
        <v>2024</v>
      </c>
    </row>
    <row r="364" spans="1:5">
      <c r="A364" s="4">
        <v>45292</v>
      </c>
      <c r="B364" s="3">
        <v>145009.79999999999</v>
      </c>
      <c r="C364" t="s">
        <v>7</v>
      </c>
      <c r="D364" t="s">
        <v>19</v>
      </c>
      <c r="E364">
        <f t="shared" si="5"/>
        <v>2024</v>
      </c>
    </row>
    <row r="365" spans="1:5">
      <c r="A365" s="4">
        <v>45292</v>
      </c>
      <c r="B365" s="3">
        <v>1919147.1</v>
      </c>
      <c r="C365" t="s">
        <v>7</v>
      </c>
      <c r="D365" t="s">
        <v>20</v>
      </c>
      <c r="E365">
        <f t="shared" si="5"/>
        <v>2024</v>
      </c>
    </row>
    <row r="366" spans="1:5">
      <c r="A366" s="4">
        <v>45292</v>
      </c>
      <c r="B366" s="3">
        <v>2045.7</v>
      </c>
      <c r="C366" t="s">
        <v>8</v>
      </c>
      <c r="D366" t="s">
        <v>19</v>
      </c>
      <c r="E366">
        <f t="shared" si="5"/>
        <v>2024</v>
      </c>
    </row>
    <row r="367" spans="1:5">
      <c r="A367" s="4">
        <v>45292</v>
      </c>
      <c r="B367" s="3">
        <v>74929.899999999994</v>
      </c>
      <c r="C367" t="s">
        <v>8</v>
      </c>
      <c r="D367" t="s">
        <v>20</v>
      </c>
      <c r="E367">
        <f t="shared" si="5"/>
        <v>2024</v>
      </c>
    </row>
    <row r="368" spans="1:5">
      <c r="A368" s="4">
        <v>45292</v>
      </c>
      <c r="B368" s="3">
        <v>373717.3</v>
      </c>
      <c r="C368" t="s">
        <v>9</v>
      </c>
      <c r="D368" t="s">
        <v>19</v>
      </c>
      <c r="E368">
        <f t="shared" si="5"/>
        <v>2024</v>
      </c>
    </row>
    <row r="369" spans="1:5">
      <c r="A369" s="4">
        <v>45292</v>
      </c>
      <c r="B369" s="3">
        <v>2493120.1</v>
      </c>
      <c r="C369" t="s">
        <v>9</v>
      </c>
      <c r="D369" t="s">
        <v>20</v>
      </c>
      <c r="E369">
        <f t="shared" si="5"/>
        <v>2024</v>
      </c>
    </row>
    <row r="370" spans="1:5">
      <c r="A370" s="4">
        <v>45323</v>
      </c>
      <c r="B370" s="3">
        <v>3239.2</v>
      </c>
      <c r="C370" t="s">
        <v>2</v>
      </c>
      <c r="D370" t="s">
        <v>19</v>
      </c>
      <c r="E370">
        <f t="shared" si="5"/>
        <v>2024</v>
      </c>
    </row>
    <row r="371" spans="1:5">
      <c r="A371" s="4">
        <v>45323</v>
      </c>
      <c r="B371" s="3">
        <v>22.1</v>
      </c>
      <c r="C371" t="s">
        <v>2</v>
      </c>
      <c r="D371" t="s">
        <v>20</v>
      </c>
      <c r="E371">
        <f t="shared" si="5"/>
        <v>2024</v>
      </c>
    </row>
    <row r="372" spans="1:5">
      <c r="A372" s="4">
        <v>45323</v>
      </c>
      <c r="B372" s="3">
        <v>17579.400000000001</v>
      </c>
      <c r="C372" t="s">
        <v>3</v>
      </c>
      <c r="D372" t="s">
        <v>19</v>
      </c>
      <c r="E372">
        <f t="shared" si="5"/>
        <v>2024</v>
      </c>
    </row>
    <row r="373" spans="1:5">
      <c r="A373" s="4">
        <v>45323</v>
      </c>
      <c r="B373" s="3">
        <v>16040.1</v>
      </c>
      <c r="C373" t="s">
        <v>3</v>
      </c>
      <c r="D373" t="s">
        <v>20</v>
      </c>
      <c r="E373">
        <f t="shared" si="5"/>
        <v>2024</v>
      </c>
    </row>
    <row r="374" spans="1:5">
      <c r="A374" s="4">
        <v>45323</v>
      </c>
      <c r="B374" s="3">
        <v>0.2</v>
      </c>
      <c r="C374" t="s">
        <v>4</v>
      </c>
      <c r="D374" t="s">
        <v>19</v>
      </c>
      <c r="E374">
        <f t="shared" si="5"/>
        <v>2024</v>
      </c>
    </row>
    <row r="375" spans="1:5">
      <c r="A375" s="4">
        <v>45323</v>
      </c>
      <c r="B375" s="3">
        <v>0</v>
      </c>
      <c r="C375" t="s">
        <v>4</v>
      </c>
      <c r="D375" t="s">
        <v>20</v>
      </c>
      <c r="E375">
        <f t="shared" si="5"/>
        <v>2024</v>
      </c>
    </row>
    <row r="376" spans="1:5">
      <c r="A376" s="4">
        <v>45323</v>
      </c>
      <c r="B376" s="3">
        <v>21608.2</v>
      </c>
      <c r="C376" t="s">
        <v>5</v>
      </c>
      <c r="D376" t="s">
        <v>19</v>
      </c>
      <c r="E376">
        <f t="shared" si="5"/>
        <v>2024</v>
      </c>
    </row>
    <row r="377" spans="1:5">
      <c r="A377" s="4">
        <v>45323</v>
      </c>
      <c r="B377" s="3">
        <v>85089.9</v>
      </c>
      <c r="C377" t="s">
        <v>5</v>
      </c>
      <c r="D377" t="s">
        <v>20</v>
      </c>
      <c r="E377">
        <f t="shared" si="5"/>
        <v>2024</v>
      </c>
    </row>
    <row r="378" spans="1:5">
      <c r="A378" s="4">
        <v>45323</v>
      </c>
      <c r="B378" s="3">
        <v>67068.2</v>
      </c>
      <c r="C378" t="s">
        <v>6</v>
      </c>
      <c r="D378" t="s">
        <v>19</v>
      </c>
      <c r="E378">
        <f t="shared" si="5"/>
        <v>2024</v>
      </c>
    </row>
    <row r="379" spans="1:5">
      <c r="A379" s="4">
        <v>45323</v>
      </c>
      <c r="B379" s="3">
        <v>895440.2</v>
      </c>
      <c r="C379" t="s">
        <v>6</v>
      </c>
      <c r="D379" t="s">
        <v>20</v>
      </c>
      <c r="E379">
        <f t="shared" si="5"/>
        <v>2024</v>
      </c>
    </row>
    <row r="380" spans="1:5">
      <c r="A380" s="4">
        <v>45323</v>
      </c>
      <c r="B380" s="3">
        <v>138162</v>
      </c>
      <c r="C380" t="s">
        <v>7</v>
      </c>
      <c r="D380" t="s">
        <v>19</v>
      </c>
      <c r="E380">
        <f t="shared" si="5"/>
        <v>2024</v>
      </c>
    </row>
    <row r="381" spans="1:5">
      <c r="A381" s="4">
        <v>45323</v>
      </c>
      <c r="B381" s="3">
        <v>1943413.7</v>
      </c>
      <c r="C381" t="s">
        <v>7</v>
      </c>
      <c r="D381" t="s">
        <v>20</v>
      </c>
      <c r="E381">
        <f t="shared" si="5"/>
        <v>2024</v>
      </c>
    </row>
    <row r="382" spans="1:5">
      <c r="A382" s="4">
        <v>45323</v>
      </c>
      <c r="B382" s="3">
        <v>2305.3000000000002</v>
      </c>
      <c r="C382" t="s">
        <v>8</v>
      </c>
      <c r="D382" t="s">
        <v>19</v>
      </c>
      <c r="E382">
        <f t="shared" si="5"/>
        <v>2024</v>
      </c>
    </row>
    <row r="383" spans="1:5">
      <c r="A383" s="4">
        <v>45323</v>
      </c>
      <c r="B383" s="3">
        <v>69692</v>
      </c>
      <c r="C383" t="s">
        <v>8</v>
      </c>
      <c r="D383" t="s">
        <v>20</v>
      </c>
      <c r="E383">
        <f t="shared" si="5"/>
        <v>2024</v>
      </c>
    </row>
    <row r="384" spans="1:5">
      <c r="A384" s="4">
        <v>45323</v>
      </c>
      <c r="B384" s="3">
        <v>356548.1</v>
      </c>
      <c r="C384" t="s">
        <v>9</v>
      </c>
      <c r="D384" t="s">
        <v>19</v>
      </c>
      <c r="E384">
        <f t="shared" si="5"/>
        <v>2024</v>
      </c>
    </row>
    <row r="385" spans="1:5">
      <c r="A385" s="4">
        <v>45323</v>
      </c>
      <c r="B385" s="3">
        <v>2454066.5</v>
      </c>
      <c r="C385" t="s">
        <v>9</v>
      </c>
      <c r="D385" t="s">
        <v>20</v>
      </c>
      <c r="E385">
        <f t="shared" si="5"/>
        <v>2024</v>
      </c>
    </row>
    <row r="386" spans="1:5">
      <c r="A386" s="4">
        <v>45352</v>
      </c>
      <c r="B386" s="3">
        <v>3190.3</v>
      </c>
      <c r="C386" t="s">
        <v>2</v>
      </c>
      <c r="D386" t="s">
        <v>19</v>
      </c>
      <c r="E386">
        <f t="shared" si="5"/>
        <v>2024</v>
      </c>
    </row>
    <row r="387" spans="1:5">
      <c r="A387" s="4">
        <v>45352</v>
      </c>
      <c r="B387" s="3">
        <v>25.4</v>
      </c>
      <c r="C387" t="s">
        <v>2</v>
      </c>
      <c r="D387" t="s">
        <v>20</v>
      </c>
      <c r="E387">
        <f t="shared" ref="E387:E450" si="6">YEAR(A387)</f>
        <v>2024</v>
      </c>
    </row>
    <row r="388" spans="1:5">
      <c r="A388" s="4">
        <v>45352</v>
      </c>
      <c r="B388" s="3">
        <v>19831.3</v>
      </c>
      <c r="C388" t="s">
        <v>3</v>
      </c>
      <c r="D388" t="s">
        <v>19</v>
      </c>
      <c r="E388">
        <f t="shared" si="6"/>
        <v>2024</v>
      </c>
    </row>
    <row r="389" spans="1:5">
      <c r="A389" s="4">
        <v>45352</v>
      </c>
      <c r="B389" s="3">
        <v>16500</v>
      </c>
      <c r="C389" t="s">
        <v>3</v>
      </c>
      <c r="D389" t="s">
        <v>20</v>
      </c>
      <c r="E389">
        <f t="shared" si="6"/>
        <v>2024</v>
      </c>
    </row>
    <row r="390" spans="1:5">
      <c r="A390" s="4">
        <v>45352</v>
      </c>
      <c r="B390" s="3">
        <v>0.2</v>
      </c>
      <c r="C390" t="s">
        <v>4</v>
      </c>
      <c r="D390" t="s">
        <v>19</v>
      </c>
      <c r="E390">
        <f t="shared" si="6"/>
        <v>2024</v>
      </c>
    </row>
    <row r="391" spans="1:5">
      <c r="A391" s="4">
        <v>45352</v>
      </c>
      <c r="B391" s="3">
        <v>0</v>
      </c>
      <c r="C391" t="s">
        <v>4</v>
      </c>
      <c r="D391" t="s">
        <v>20</v>
      </c>
      <c r="E391">
        <f t="shared" si="6"/>
        <v>2024</v>
      </c>
    </row>
    <row r="392" spans="1:5">
      <c r="A392" s="4">
        <v>45352</v>
      </c>
      <c r="B392" s="3">
        <v>31038.5</v>
      </c>
      <c r="C392" t="s">
        <v>5</v>
      </c>
      <c r="D392" t="s">
        <v>19</v>
      </c>
      <c r="E392">
        <f t="shared" si="6"/>
        <v>2024</v>
      </c>
    </row>
    <row r="393" spans="1:5">
      <c r="A393" s="4">
        <v>45352</v>
      </c>
      <c r="B393" s="3">
        <v>99781.3</v>
      </c>
      <c r="C393" t="s">
        <v>5</v>
      </c>
      <c r="D393" t="s">
        <v>20</v>
      </c>
      <c r="E393">
        <f t="shared" si="6"/>
        <v>2024</v>
      </c>
    </row>
    <row r="394" spans="1:5">
      <c r="A394" s="4">
        <v>45352</v>
      </c>
      <c r="B394" s="3">
        <v>71440.5</v>
      </c>
      <c r="C394" t="s">
        <v>6</v>
      </c>
      <c r="D394" t="s">
        <v>19</v>
      </c>
      <c r="E394">
        <f t="shared" si="6"/>
        <v>2024</v>
      </c>
    </row>
    <row r="395" spans="1:5">
      <c r="A395" s="4">
        <v>45352</v>
      </c>
      <c r="B395" s="3">
        <v>964514.8</v>
      </c>
      <c r="C395" t="s">
        <v>6</v>
      </c>
      <c r="D395" t="s">
        <v>20</v>
      </c>
      <c r="E395">
        <f t="shared" si="6"/>
        <v>2024</v>
      </c>
    </row>
    <row r="396" spans="1:5">
      <c r="A396" s="4">
        <v>45352</v>
      </c>
      <c r="B396" s="3">
        <v>146293</v>
      </c>
      <c r="C396" t="s">
        <v>7</v>
      </c>
      <c r="D396" t="s">
        <v>19</v>
      </c>
      <c r="E396">
        <f t="shared" si="6"/>
        <v>2024</v>
      </c>
    </row>
    <row r="397" spans="1:5">
      <c r="A397" s="4">
        <v>45352</v>
      </c>
      <c r="B397" s="3">
        <v>2102353.9</v>
      </c>
      <c r="C397" t="s">
        <v>7</v>
      </c>
      <c r="D397" t="s">
        <v>20</v>
      </c>
      <c r="E397">
        <f t="shared" si="6"/>
        <v>2024</v>
      </c>
    </row>
    <row r="398" spans="1:5">
      <c r="A398" s="4">
        <v>45352</v>
      </c>
      <c r="B398" s="3">
        <v>2607.3000000000002</v>
      </c>
      <c r="C398" t="s">
        <v>8</v>
      </c>
      <c r="D398" t="s">
        <v>19</v>
      </c>
      <c r="E398">
        <f t="shared" si="6"/>
        <v>2024</v>
      </c>
    </row>
    <row r="399" spans="1:5">
      <c r="A399" s="4">
        <v>45352</v>
      </c>
      <c r="B399" s="3">
        <v>75508.100000000006</v>
      </c>
      <c r="C399" t="s">
        <v>8</v>
      </c>
      <c r="D399" t="s">
        <v>20</v>
      </c>
      <c r="E399">
        <f t="shared" si="6"/>
        <v>2024</v>
      </c>
    </row>
    <row r="400" spans="1:5">
      <c r="A400" s="4">
        <v>45352</v>
      </c>
      <c r="B400" s="3">
        <v>361850.2</v>
      </c>
      <c r="C400" t="s">
        <v>9</v>
      </c>
      <c r="D400" t="s">
        <v>19</v>
      </c>
      <c r="E400">
        <f t="shared" si="6"/>
        <v>2024</v>
      </c>
    </row>
    <row r="401" spans="1:5">
      <c r="A401" s="4">
        <v>45352</v>
      </c>
      <c r="B401" s="3">
        <v>2732085.9</v>
      </c>
      <c r="C401" t="s">
        <v>9</v>
      </c>
      <c r="D401" t="s">
        <v>20</v>
      </c>
      <c r="E401">
        <f t="shared" si="6"/>
        <v>2024</v>
      </c>
    </row>
    <row r="402" spans="1:5">
      <c r="A402" s="4">
        <v>45383</v>
      </c>
      <c r="B402" s="3">
        <v>3413.9</v>
      </c>
      <c r="C402" t="s">
        <v>2</v>
      </c>
      <c r="D402" t="s">
        <v>19</v>
      </c>
      <c r="E402">
        <f t="shared" si="6"/>
        <v>2024</v>
      </c>
    </row>
    <row r="403" spans="1:5">
      <c r="A403" s="4">
        <v>45383</v>
      </c>
      <c r="B403" s="3">
        <v>25.4</v>
      </c>
      <c r="C403" t="s">
        <v>2</v>
      </c>
      <c r="D403" t="s">
        <v>20</v>
      </c>
      <c r="E403">
        <f t="shared" si="6"/>
        <v>2024</v>
      </c>
    </row>
    <row r="404" spans="1:5">
      <c r="A404" s="4">
        <v>45383</v>
      </c>
      <c r="B404" s="3">
        <v>21133.5</v>
      </c>
      <c r="C404" t="s">
        <v>3</v>
      </c>
      <c r="D404" t="s">
        <v>19</v>
      </c>
      <c r="E404">
        <f t="shared" si="6"/>
        <v>2024</v>
      </c>
    </row>
    <row r="405" spans="1:5">
      <c r="A405" s="4">
        <v>45383</v>
      </c>
      <c r="B405" s="3">
        <v>16244.3</v>
      </c>
      <c r="C405" t="s">
        <v>3</v>
      </c>
      <c r="D405" t="s">
        <v>20</v>
      </c>
      <c r="E405">
        <f t="shared" si="6"/>
        <v>2024</v>
      </c>
    </row>
    <row r="406" spans="1:5">
      <c r="A406" s="4">
        <v>45383</v>
      </c>
      <c r="B406" s="3">
        <v>0.7</v>
      </c>
      <c r="C406" t="s">
        <v>4</v>
      </c>
      <c r="D406" t="s">
        <v>19</v>
      </c>
      <c r="E406">
        <f t="shared" si="6"/>
        <v>2024</v>
      </c>
    </row>
    <row r="407" spans="1:5">
      <c r="A407" s="4">
        <v>45383</v>
      </c>
      <c r="B407" s="3">
        <v>28771.3</v>
      </c>
      <c r="C407" t="s">
        <v>5</v>
      </c>
      <c r="D407" t="s">
        <v>19</v>
      </c>
      <c r="E407">
        <f t="shared" si="6"/>
        <v>2024</v>
      </c>
    </row>
    <row r="408" spans="1:5">
      <c r="A408" s="4">
        <v>45383</v>
      </c>
      <c r="B408" s="3">
        <v>94252.6</v>
      </c>
      <c r="C408" t="s">
        <v>5</v>
      </c>
      <c r="D408" t="s">
        <v>20</v>
      </c>
      <c r="E408">
        <f t="shared" si="6"/>
        <v>2024</v>
      </c>
    </row>
    <row r="409" spans="1:5">
      <c r="A409" s="4">
        <v>45383</v>
      </c>
      <c r="B409" s="3">
        <v>67736</v>
      </c>
      <c r="C409" t="s">
        <v>6</v>
      </c>
      <c r="D409" t="s">
        <v>19</v>
      </c>
      <c r="E409">
        <f t="shared" si="6"/>
        <v>2024</v>
      </c>
    </row>
    <row r="410" spans="1:5">
      <c r="A410" s="4">
        <v>45383</v>
      </c>
      <c r="B410" s="3">
        <v>954795.1</v>
      </c>
      <c r="C410" t="s">
        <v>6</v>
      </c>
      <c r="D410" t="s">
        <v>20</v>
      </c>
      <c r="E410">
        <f t="shared" si="6"/>
        <v>2024</v>
      </c>
    </row>
    <row r="411" spans="1:5">
      <c r="A411" s="4">
        <v>45383</v>
      </c>
      <c r="B411" s="3">
        <v>142964.5</v>
      </c>
      <c r="C411" t="s">
        <v>7</v>
      </c>
      <c r="D411" t="s">
        <v>19</v>
      </c>
      <c r="E411">
        <f t="shared" si="6"/>
        <v>2024</v>
      </c>
    </row>
    <row r="412" spans="1:5">
      <c r="A412" s="4">
        <v>45383</v>
      </c>
      <c r="B412" s="3">
        <v>1998036.4</v>
      </c>
      <c r="C412" t="s">
        <v>7</v>
      </c>
      <c r="D412" t="s">
        <v>20</v>
      </c>
      <c r="E412">
        <f t="shared" si="6"/>
        <v>2024</v>
      </c>
    </row>
    <row r="413" spans="1:5">
      <c r="A413" s="4">
        <v>45383</v>
      </c>
      <c r="B413" s="3">
        <v>2467.6999999999998</v>
      </c>
      <c r="C413" t="s">
        <v>8</v>
      </c>
      <c r="D413" t="s">
        <v>19</v>
      </c>
      <c r="E413">
        <f t="shared" si="6"/>
        <v>2024</v>
      </c>
    </row>
    <row r="414" spans="1:5">
      <c r="A414" s="4">
        <v>45383</v>
      </c>
      <c r="B414" s="3">
        <v>72246.3</v>
      </c>
      <c r="C414" t="s">
        <v>8</v>
      </c>
      <c r="D414" t="s">
        <v>20</v>
      </c>
      <c r="E414">
        <f t="shared" si="6"/>
        <v>2024</v>
      </c>
    </row>
    <row r="415" spans="1:5">
      <c r="A415" s="4">
        <v>45383</v>
      </c>
      <c r="B415" s="3">
        <v>344452.6</v>
      </c>
      <c r="C415" t="s">
        <v>9</v>
      </c>
      <c r="D415" t="s">
        <v>19</v>
      </c>
      <c r="E415">
        <f t="shared" si="6"/>
        <v>2024</v>
      </c>
    </row>
    <row r="416" spans="1:5">
      <c r="A416" s="4">
        <v>45383</v>
      </c>
      <c r="B416" s="3">
        <v>2510958.2999999998</v>
      </c>
      <c r="C416" t="s">
        <v>9</v>
      </c>
      <c r="D416" t="s">
        <v>20</v>
      </c>
      <c r="E416">
        <f t="shared" si="6"/>
        <v>2024</v>
      </c>
    </row>
    <row r="417" spans="1:5">
      <c r="A417" s="4">
        <v>45413</v>
      </c>
      <c r="B417" s="3">
        <v>3315.8</v>
      </c>
      <c r="C417" t="s">
        <v>2</v>
      </c>
      <c r="D417" t="s">
        <v>19</v>
      </c>
      <c r="E417">
        <f t="shared" si="6"/>
        <v>2024</v>
      </c>
    </row>
    <row r="418" spans="1:5">
      <c r="A418" s="4">
        <v>45413</v>
      </c>
      <c r="B418" s="3">
        <v>26.6</v>
      </c>
      <c r="C418" t="s">
        <v>2</v>
      </c>
      <c r="D418" t="s">
        <v>20</v>
      </c>
      <c r="E418">
        <f t="shared" si="6"/>
        <v>2024</v>
      </c>
    </row>
    <row r="419" spans="1:5">
      <c r="A419" s="4">
        <v>45413</v>
      </c>
      <c r="B419" s="3">
        <v>21671.7</v>
      </c>
      <c r="C419" t="s">
        <v>3</v>
      </c>
      <c r="D419" t="s">
        <v>19</v>
      </c>
      <c r="E419">
        <f t="shared" si="6"/>
        <v>2024</v>
      </c>
    </row>
    <row r="420" spans="1:5">
      <c r="A420" s="4">
        <v>45413</v>
      </c>
      <c r="B420" s="3">
        <v>17696.7</v>
      </c>
      <c r="C420" t="s">
        <v>3</v>
      </c>
      <c r="D420" t="s">
        <v>20</v>
      </c>
      <c r="E420">
        <f t="shared" si="6"/>
        <v>2024</v>
      </c>
    </row>
    <row r="421" spans="1:5">
      <c r="A421" s="4">
        <v>45413</v>
      </c>
      <c r="B421" s="3">
        <v>0.9</v>
      </c>
      <c r="C421" t="s">
        <v>4</v>
      </c>
      <c r="D421" t="s">
        <v>19</v>
      </c>
      <c r="E421">
        <f t="shared" si="6"/>
        <v>2024</v>
      </c>
    </row>
    <row r="422" spans="1:5">
      <c r="A422" s="4">
        <v>45413</v>
      </c>
      <c r="B422" s="3">
        <v>31863</v>
      </c>
      <c r="C422" t="s">
        <v>5</v>
      </c>
      <c r="D422" t="s">
        <v>19</v>
      </c>
      <c r="E422">
        <f t="shared" si="6"/>
        <v>2024</v>
      </c>
    </row>
    <row r="423" spans="1:5">
      <c r="A423" s="4">
        <v>45413</v>
      </c>
      <c r="B423" s="3">
        <v>93409.4</v>
      </c>
      <c r="C423" t="s">
        <v>5</v>
      </c>
      <c r="D423" t="s">
        <v>20</v>
      </c>
      <c r="E423">
        <f t="shared" si="6"/>
        <v>2024</v>
      </c>
    </row>
    <row r="424" spans="1:5">
      <c r="A424" s="4">
        <v>45413</v>
      </c>
      <c r="B424" s="3">
        <v>71357.399999999994</v>
      </c>
      <c r="C424" t="s">
        <v>6</v>
      </c>
      <c r="D424" t="s">
        <v>19</v>
      </c>
      <c r="E424">
        <f t="shared" si="6"/>
        <v>2024</v>
      </c>
    </row>
    <row r="425" spans="1:5">
      <c r="A425" s="4">
        <v>45413</v>
      </c>
      <c r="B425" s="3">
        <v>1022800.3</v>
      </c>
      <c r="C425" t="s">
        <v>6</v>
      </c>
      <c r="D425" t="s">
        <v>20</v>
      </c>
      <c r="E425">
        <f t="shared" si="6"/>
        <v>2024</v>
      </c>
    </row>
    <row r="426" spans="1:5">
      <c r="A426" s="4">
        <v>45413</v>
      </c>
      <c r="B426" s="3">
        <v>142240</v>
      </c>
      <c r="C426" t="s">
        <v>7</v>
      </c>
      <c r="D426" t="s">
        <v>19</v>
      </c>
      <c r="E426">
        <f t="shared" si="6"/>
        <v>2024</v>
      </c>
    </row>
    <row r="427" spans="1:5">
      <c r="A427" s="4">
        <v>45413</v>
      </c>
      <c r="B427" s="3">
        <v>2141425.4</v>
      </c>
      <c r="C427" t="s">
        <v>7</v>
      </c>
      <c r="D427" t="s">
        <v>20</v>
      </c>
      <c r="E427">
        <f t="shared" si="6"/>
        <v>2024</v>
      </c>
    </row>
    <row r="428" spans="1:5">
      <c r="A428" s="4">
        <v>45413</v>
      </c>
      <c r="B428" s="3">
        <v>2551.8000000000002</v>
      </c>
      <c r="C428" t="s">
        <v>8</v>
      </c>
      <c r="D428" t="s">
        <v>19</v>
      </c>
      <c r="E428">
        <f t="shared" si="6"/>
        <v>2024</v>
      </c>
    </row>
    <row r="429" spans="1:5">
      <c r="A429" s="4">
        <v>45413</v>
      </c>
      <c r="B429" s="3">
        <v>76167.600000000006</v>
      </c>
      <c r="C429" t="s">
        <v>8</v>
      </c>
      <c r="D429" t="s">
        <v>20</v>
      </c>
      <c r="E429">
        <f t="shared" si="6"/>
        <v>2024</v>
      </c>
    </row>
    <row r="430" spans="1:5">
      <c r="A430" s="4">
        <v>45413</v>
      </c>
      <c r="B430" s="3">
        <v>342433.2</v>
      </c>
      <c r="C430" t="s">
        <v>9</v>
      </c>
      <c r="D430" t="s">
        <v>19</v>
      </c>
      <c r="E430">
        <f t="shared" si="6"/>
        <v>2024</v>
      </c>
    </row>
    <row r="431" spans="1:5">
      <c r="A431" s="4">
        <v>45413</v>
      </c>
      <c r="B431" s="3">
        <v>2594810.2000000002</v>
      </c>
      <c r="C431" t="s">
        <v>9</v>
      </c>
      <c r="D431" t="s">
        <v>20</v>
      </c>
      <c r="E431">
        <f t="shared" si="6"/>
        <v>2024</v>
      </c>
    </row>
    <row r="432" spans="1:5">
      <c r="A432" s="4">
        <v>45444</v>
      </c>
      <c r="B432" s="3">
        <v>3592.6</v>
      </c>
      <c r="C432" t="s">
        <v>2</v>
      </c>
      <c r="D432" t="s">
        <v>19</v>
      </c>
      <c r="E432">
        <f t="shared" si="6"/>
        <v>2024</v>
      </c>
    </row>
    <row r="433" spans="1:5">
      <c r="A433" s="4">
        <v>45444</v>
      </c>
      <c r="B433" s="3">
        <v>25.6</v>
      </c>
      <c r="C433" t="s">
        <v>2</v>
      </c>
      <c r="D433" t="s">
        <v>20</v>
      </c>
      <c r="E433">
        <f t="shared" si="6"/>
        <v>2024</v>
      </c>
    </row>
    <row r="434" spans="1:5">
      <c r="A434" s="4">
        <v>45444</v>
      </c>
      <c r="B434" s="3">
        <v>22841.4</v>
      </c>
      <c r="C434" t="s">
        <v>3</v>
      </c>
      <c r="D434" t="s">
        <v>19</v>
      </c>
      <c r="E434">
        <f t="shared" si="6"/>
        <v>2024</v>
      </c>
    </row>
    <row r="435" spans="1:5">
      <c r="A435" s="4">
        <v>45444</v>
      </c>
      <c r="B435" s="3">
        <v>16857.5</v>
      </c>
      <c r="C435" t="s">
        <v>3</v>
      </c>
      <c r="D435" t="s">
        <v>20</v>
      </c>
      <c r="E435">
        <f t="shared" si="6"/>
        <v>2024</v>
      </c>
    </row>
    <row r="436" spans="1:5">
      <c r="A436" s="4">
        <v>45444</v>
      </c>
      <c r="B436" s="3">
        <v>0.8</v>
      </c>
      <c r="C436" t="s">
        <v>4</v>
      </c>
      <c r="D436" t="s">
        <v>19</v>
      </c>
      <c r="E436">
        <f t="shared" si="6"/>
        <v>2024</v>
      </c>
    </row>
    <row r="437" spans="1:5">
      <c r="A437" s="4">
        <v>45444</v>
      </c>
      <c r="B437" s="3">
        <v>31156.6</v>
      </c>
      <c r="C437" t="s">
        <v>5</v>
      </c>
      <c r="D437" t="s">
        <v>19</v>
      </c>
      <c r="E437">
        <f t="shared" si="6"/>
        <v>2024</v>
      </c>
    </row>
    <row r="438" spans="1:5">
      <c r="A438" s="4">
        <v>45444</v>
      </c>
      <c r="B438" s="3">
        <v>98455.9</v>
      </c>
      <c r="C438" t="s">
        <v>5</v>
      </c>
      <c r="D438" t="s">
        <v>20</v>
      </c>
      <c r="E438">
        <f t="shared" si="6"/>
        <v>2024</v>
      </c>
    </row>
    <row r="439" spans="1:5">
      <c r="A439" s="4">
        <v>45444</v>
      </c>
      <c r="B439" s="3">
        <v>70489.399999999994</v>
      </c>
      <c r="C439" t="s">
        <v>6</v>
      </c>
      <c r="D439" t="s">
        <v>19</v>
      </c>
      <c r="E439">
        <f t="shared" si="6"/>
        <v>2024</v>
      </c>
    </row>
    <row r="440" spans="1:5">
      <c r="A440" s="4">
        <v>45444</v>
      </c>
      <c r="B440" s="3">
        <v>1031506.4</v>
      </c>
      <c r="C440" t="s">
        <v>6</v>
      </c>
      <c r="D440" t="s">
        <v>20</v>
      </c>
      <c r="E440">
        <f t="shared" si="6"/>
        <v>2024</v>
      </c>
    </row>
    <row r="441" spans="1:5">
      <c r="A441" s="4">
        <v>45444</v>
      </c>
      <c r="B441" s="3">
        <v>144029.1</v>
      </c>
      <c r="C441" t="s">
        <v>7</v>
      </c>
      <c r="D441" t="s">
        <v>19</v>
      </c>
      <c r="E441">
        <f t="shared" si="6"/>
        <v>2024</v>
      </c>
    </row>
    <row r="442" spans="1:5">
      <c r="A442" s="4">
        <v>45444</v>
      </c>
      <c r="B442" s="3">
        <v>2085929.4</v>
      </c>
      <c r="C442" t="s">
        <v>7</v>
      </c>
      <c r="D442" t="s">
        <v>20</v>
      </c>
      <c r="E442">
        <f t="shared" si="6"/>
        <v>2024</v>
      </c>
    </row>
    <row r="443" spans="1:5">
      <c r="A443" s="4">
        <v>45444</v>
      </c>
      <c r="B443" s="3">
        <v>2608</v>
      </c>
      <c r="C443" t="s">
        <v>8</v>
      </c>
      <c r="D443" t="s">
        <v>19</v>
      </c>
      <c r="E443">
        <f t="shared" si="6"/>
        <v>2024</v>
      </c>
    </row>
    <row r="444" spans="1:5">
      <c r="A444" s="4">
        <v>45444</v>
      </c>
      <c r="B444" s="3">
        <v>76140.3</v>
      </c>
      <c r="C444" t="s">
        <v>8</v>
      </c>
      <c r="D444" t="s">
        <v>20</v>
      </c>
      <c r="E444">
        <f t="shared" si="6"/>
        <v>2024</v>
      </c>
    </row>
    <row r="445" spans="1:5">
      <c r="A445" s="4">
        <v>45444</v>
      </c>
      <c r="B445" s="3">
        <v>370393.9</v>
      </c>
      <c r="C445" t="s">
        <v>9</v>
      </c>
      <c r="D445" t="s">
        <v>19</v>
      </c>
      <c r="E445">
        <f t="shared" si="6"/>
        <v>2024</v>
      </c>
    </row>
    <row r="446" spans="1:5">
      <c r="A446" s="4">
        <v>45444</v>
      </c>
      <c r="B446" s="3">
        <v>2544050.1</v>
      </c>
      <c r="C446" t="s">
        <v>9</v>
      </c>
      <c r="D446" t="s">
        <v>20</v>
      </c>
      <c r="E446">
        <f t="shared" si="6"/>
        <v>2024</v>
      </c>
    </row>
    <row r="447" spans="1:5">
      <c r="A447" s="4">
        <v>45474</v>
      </c>
      <c r="B447" s="3">
        <v>1100.9000000000001</v>
      </c>
      <c r="C447" t="s">
        <v>2</v>
      </c>
      <c r="D447" t="s">
        <v>19</v>
      </c>
      <c r="E447">
        <f t="shared" si="6"/>
        <v>2024</v>
      </c>
    </row>
    <row r="448" spans="1:5">
      <c r="A448" s="4">
        <v>45474</v>
      </c>
      <c r="B448" s="3">
        <v>28.5</v>
      </c>
      <c r="C448" t="s">
        <v>2</v>
      </c>
      <c r="D448" t="s">
        <v>20</v>
      </c>
      <c r="E448">
        <f t="shared" si="6"/>
        <v>2024</v>
      </c>
    </row>
    <row r="449" spans="1:5">
      <c r="A449" s="4">
        <v>45474</v>
      </c>
      <c r="B449" s="3">
        <v>19777.900000000001</v>
      </c>
      <c r="C449" t="s">
        <v>3</v>
      </c>
      <c r="D449" t="s">
        <v>19</v>
      </c>
      <c r="E449">
        <f t="shared" si="6"/>
        <v>2024</v>
      </c>
    </row>
    <row r="450" spans="1:5">
      <c r="A450" s="4">
        <v>45474</v>
      </c>
      <c r="B450" s="3">
        <v>16848.400000000001</v>
      </c>
      <c r="C450" t="s">
        <v>3</v>
      </c>
      <c r="D450" t="s">
        <v>20</v>
      </c>
      <c r="E450">
        <f t="shared" si="6"/>
        <v>2024</v>
      </c>
    </row>
    <row r="451" spans="1:5">
      <c r="A451" s="4">
        <v>45474</v>
      </c>
      <c r="B451" s="3">
        <v>0.9</v>
      </c>
      <c r="C451" t="s">
        <v>4</v>
      </c>
      <c r="D451" t="s">
        <v>19</v>
      </c>
      <c r="E451">
        <f t="shared" ref="E451:E514" si="7">YEAR(A451)</f>
        <v>2024</v>
      </c>
    </row>
    <row r="452" spans="1:5">
      <c r="A452" s="4">
        <v>45474</v>
      </c>
      <c r="B452" s="3">
        <v>33689.4</v>
      </c>
      <c r="C452" t="s">
        <v>5</v>
      </c>
      <c r="D452" t="s">
        <v>19</v>
      </c>
      <c r="E452">
        <f t="shared" si="7"/>
        <v>2024</v>
      </c>
    </row>
    <row r="453" spans="1:5">
      <c r="A453" s="4">
        <v>45474</v>
      </c>
      <c r="B453" s="3">
        <v>101240.2</v>
      </c>
      <c r="C453" t="s">
        <v>5</v>
      </c>
      <c r="D453" t="s">
        <v>20</v>
      </c>
      <c r="E453">
        <f t="shared" si="7"/>
        <v>2024</v>
      </c>
    </row>
    <row r="454" spans="1:5">
      <c r="A454" s="4">
        <v>45474</v>
      </c>
      <c r="B454" s="3">
        <v>90099.3</v>
      </c>
      <c r="C454" t="s">
        <v>6</v>
      </c>
      <c r="D454" t="s">
        <v>19</v>
      </c>
      <c r="E454">
        <f t="shared" si="7"/>
        <v>2024</v>
      </c>
    </row>
    <row r="455" spans="1:5">
      <c r="A455" s="4">
        <v>45474</v>
      </c>
      <c r="B455" s="3">
        <v>1011509</v>
      </c>
      <c r="C455" t="s">
        <v>6</v>
      </c>
      <c r="D455" t="s">
        <v>20</v>
      </c>
      <c r="E455">
        <f t="shared" si="7"/>
        <v>2024</v>
      </c>
    </row>
    <row r="456" spans="1:5">
      <c r="A456" s="4">
        <v>45474</v>
      </c>
      <c r="B456" s="3">
        <v>213117.7</v>
      </c>
      <c r="C456" t="s">
        <v>7</v>
      </c>
      <c r="D456" t="s">
        <v>19</v>
      </c>
      <c r="E456">
        <f t="shared" si="7"/>
        <v>2024</v>
      </c>
    </row>
    <row r="457" spans="1:5">
      <c r="A457" s="4">
        <v>45474</v>
      </c>
      <c r="B457" s="3">
        <v>2037639</v>
      </c>
      <c r="C457" t="s">
        <v>7</v>
      </c>
      <c r="D457" t="s">
        <v>20</v>
      </c>
      <c r="E457">
        <f t="shared" si="7"/>
        <v>2024</v>
      </c>
    </row>
    <row r="458" spans="1:5">
      <c r="A458" s="4">
        <v>45474</v>
      </c>
      <c r="B458" s="3">
        <v>4834.8</v>
      </c>
      <c r="C458" t="s">
        <v>8</v>
      </c>
      <c r="D458" t="s">
        <v>19</v>
      </c>
      <c r="E458">
        <f t="shared" si="7"/>
        <v>2024</v>
      </c>
    </row>
    <row r="459" spans="1:5">
      <c r="A459" s="4">
        <v>45474</v>
      </c>
      <c r="B459" s="3">
        <v>75269.399999999994</v>
      </c>
      <c r="C459" t="s">
        <v>8</v>
      </c>
      <c r="D459" t="s">
        <v>20</v>
      </c>
      <c r="E459">
        <f t="shared" si="7"/>
        <v>2024</v>
      </c>
    </row>
    <row r="460" spans="1:5">
      <c r="A460" s="4">
        <v>45474</v>
      </c>
      <c r="B460" s="3">
        <v>206198</v>
      </c>
      <c r="C460" t="s">
        <v>9</v>
      </c>
      <c r="D460" t="s">
        <v>19</v>
      </c>
      <c r="E460">
        <f t="shared" si="7"/>
        <v>2024</v>
      </c>
    </row>
    <row r="461" spans="1:5">
      <c r="A461" s="4">
        <v>45474</v>
      </c>
      <c r="B461" s="3">
        <v>2349976</v>
      </c>
      <c r="C461" t="s">
        <v>9</v>
      </c>
      <c r="D461" t="s">
        <v>20</v>
      </c>
      <c r="E461">
        <f t="shared" si="7"/>
        <v>2024</v>
      </c>
    </row>
    <row r="462" spans="1:5">
      <c r="A462" s="4">
        <v>45505</v>
      </c>
      <c r="B462" s="3">
        <v>875.3</v>
      </c>
      <c r="C462" t="s">
        <v>2</v>
      </c>
      <c r="D462" t="s">
        <v>19</v>
      </c>
      <c r="E462">
        <f t="shared" si="7"/>
        <v>2024</v>
      </c>
    </row>
    <row r="463" spans="1:5">
      <c r="A463" s="4">
        <v>45505</v>
      </c>
      <c r="B463" s="3">
        <v>28.5</v>
      </c>
      <c r="C463" t="s">
        <v>2</v>
      </c>
      <c r="D463" t="s">
        <v>20</v>
      </c>
      <c r="E463">
        <f t="shared" si="7"/>
        <v>2024</v>
      </c>
    </row>
    <row r="464" spans="1:5">
      <c r="A464" s="4">
        <v>45505</v>
      </c>
      <c r="B464" s="3">
        <v>19149.099999999999</v>
      </c>
      <c r="C464" t="s">
        <v>3</v>
      </c>
      <c r="D464" t="s">
        <v>19</v>
      </c>
      <c r="E464">
        <f t="shared" si="7"/>
        <v>2024</v>
      </c>
    </row>
    <row r="465" spans="1:5">
      <c r="A465" s="4">
        <v>45505</v>
      </c>
      <c r="B465" s="3">
        <v>17151.599999999999</v>
      </c>
      <c r="C465" t="s">
        <v>3</v>
      </c>
      <c r="D465" t="s">
        <v>20</v>
      </c>
      <c r="E465">
        <f t="shared" si="7"/>
        <v>2024</v>
      </c>
    </row>
    <row r="466" spans="1:5">
      <c r="A466" s="4">
        <v>45505</v>
      </c>
      <c r="B466" s="3">
        <v>1.4</v>
      </c>
      <c r="C466" t="s">
        <v>4</v>
      </c>
      <c r="D466" t="s">
        <v>19</v>
      </c>
      <c r="E466">
        <f t="shared" si="7"/>
        <v>2024</v>
      </c>
    </row>
    <row r="467" spans="1:5">
      <c r="A467" s="4">
        <v>45505</v>
      </c>
      <c r="B467" s="3">
        <v>0</v>
      </c>
      <c r="C467" t="s">
        <v>4</v>
      </c>
      <c r="D467" t="s">
        <v>20</v>
      </c>
      <c r="E467">
        <f t="shared" si="7"/>
        <v>2024</v>
      </c>
    </row>
    <row r="468" spans="1:5">
      <c r="A468" s="4">
        <v>45505</v>
      </c>
      <c r="B468" s="3">
        <v>32297.1</v>
      </c>
      <c r="C468" t="s">
        <v>5</v>
      </c>
      <c r="D468" t="s">
        <v>19</v>
      </c>
      <c r="E468">
        <f t="shared" si="7"/>
        <v>2024</v>
      </c>
    </row>
    <row r="469" spans="1:5">
      <c r="A469" s="4">
        <v>45505</v>
      </c>
      <c r="B469" s="3">
        <v>116018.5</v>
      </c>
      <c r="C469" t="s">
        <v>5</v>
      </c>
      <c r="D469" t="s">
        <v>20</v>
      </c>
      <c r="E469">
        <f t="shared" si="7"/>
        <v>2024</v>
      </c>
    </row>
    <row r="470" spans="1:5">
      <c r="A470" s="4">
        <v>45505</v>
      </c>
      <c r="B470" s="3">
        <v>86580.4</v>
      </c>
      <c r="C470" t="s">
        <v>6</v>
      </c>
      <c r="D470" t="s">
        <v>19</v>
      </c>
      <c r="E470">
        <f t="shared" si="7"/>
        <v>2024</v>
      </c>
    </row>
    <row r="471" spans="1:5">
      <c r="A471" s="4">
        <v>45505</v>
      </c>
      <c r="B471" s="3">
        <v>986816.1</v>
      </c>
      <c r="C471" t="s">
        <v>6</v>
      </c>
      <c r="D471" t="s">
        <v>20</v>
      </c>
      <c r="E471">
        <f t="shared" si="7"/>
        <v>2024</v>
      </c>
    </row>
    <row r="472" spans="1:5">
      <c r="A472" s="4">
        <v>45505</v>
      </c>
      <c r="B472" s="3">
        <v>193823.6</v>
      </c>
      <c r="C472" t="s">
        <v>7</v>
      </c>
      <c r="D472" t="s">
        <v>19</v>
      </c>
      <c r="E472">
        <f t="shared" si="7"/>
        <v>2024</v>
      </c>
    </row>
    <row r="473" spans="1:5">
      <c r="A473" s="4">
        <v>45505</v>
      </c>
      <c r="B473" s="3">
        <v>2041790.6</v>
      </c>
      <c r="C473" t="s">
        <v>7</v>
      </c>
      <c r="D473" t="s">
        <v>20</v>
      </c>
      <c r="E473">
        <f t="shared" si="7"/>
        <v>2024</v>
      </c>
    </row>
    <row r="474" spans="1:5">
      <c r="A474" s="4">
        <v>45505</v>
      </c>
      <c r="B474" s="3">
        <v>4461.3999999999996</v>
      </c>
      <c r="C474" t="s">
        <v>8</v>
      </c>
      <c r="D474" t="s">
        <v>19</v>
      </c>
      <c r="E474">
        <f t="shared" si="7"/>
        <v>2024</v>
      </c>
    </row>
    <row r="475" spans="1:5">
      <c r="A475" s="4">
        <v>45505</v>
      </c>
      <c r="B475" s="3">
        <v>74069</v>
      </c>
      <c r="C475" t="s">
        <v>8</v>
      </c>
      <c r="D475" t="s">
        <v>20</v>
      </c>
      <c r="E475">
        <f t="shared" si="7"/>
        <v>2024</v>
      </c>
    </row>
    <row r="476" spans="1:5">
      <c r="A476" s="4">
        <v>45505</v>
      </c>
      <c r="B476" s="3">
        <v>184409.2</v>
      </c>
      <c r="C476" t="s">
        <v>9</v>
      </c>
      <c r="D476" t="s">
        <v>19</v>
      </c>
      <c r="E476">
        <f t="shared" si="7"/>
        <v>2024</v>
      </c>
    </row>
    <row r="477" spans="1:5">
      <c r="A477" s="4">
        <v>45505</v>
      </c>
      <c r="B477" s="3">
        <v>2306408.5</v>
      </c>
      <c r="C477" t="s">
        <v>9</v>
      </c>
      <c r="D477" t="s">
        <v>20</v>
      </c>
      <c r="E477">
        <f t="shared" si="7"/>
        <v>2024</v>
      </c>
    </row>
    <row r="478" spans="1:5">
      <c r="A478" s="4">
        <v>45536</v>
      </c>
      <c r="B478" s="3">
        <v>1011.7</v>
      </c>
      <c r="C478" t="s">
        <v>2</v>
      </c>
      <c r="D478" t="s">
        <v>19</v>
      </c>
      <c r="E478">
        <f t="shared" si="7"/>
        <v>2024</v>
      </c>
    </row>
    <row r="479" spans="1:5">
      <c r="A479" s="4">
        <v>45536</v>
      </c>
      <c r="B479" s="3">
        <v>29.8</v>
      </c>
      <c r="C479" t="s">
        <v>2</v>
      </c>
      <c r="D479" t="s">
        <v>20</v>
      </c>
      <c r="E479">
        <f t="shared" si="7"/>
        <v>2024</v>
      </c>
    </row>
    <row r="480" spans="1:5">
      <c r="A480" s="4">
        <v>45536</v>
      </c>
      <c r="B480" s="3">
        <v>19936.3</v>
      </c>
      <c r="C480" t="s">
        <v>3</v>
      </c>
      <c r="D480" t="s">
        <v>19</v>
      </c>
      <c r="E480">
        <f t="shared" si="7"/>
        <v>2024</v>
      </c>
    </row>
    <row r="481" spans="1:5">
      <c r="A481" s="4">
        <v>45536</v>
      </c>
      <c r="B481" s="3">
        <v>18371.3</v>
      </c>
      <c r="C481" t="s">
        <v>3</v>
      </c>
      <c r="D481" t="s">
        <v>20</v>
      </c>
      <c r="E481">
        <f t="shared" si="7"/>
        <v>2024</v>
      </c>
    </row>
    <row r="482" spans="1:5">
      <c r="A482" s="4">
        <v>45536</v>
      </c>
      <c r="B482" s="3">
        <v>1.5</v>
      </c>
      <c r="C482" t="s">
        <v>4</v>
      </c>
      <c r="D482" t="s">
        <v>19</v>
      </c>
      <c r="E482">
        <f t="shared" si="7"/>
        <v>2024</v>
      </c>
    </row>
    <row r="483" spans="1:5">
      <c r="A483" s="4">
        <v>45536</v>
      </c>
      <c r="B483" s="3">
        <v>0</v>
      </c>
      <c r="C483" t="s">
        <v>4</v>
      </c>
      <c r="D483" t="s">
        <v>20</v>
      </c>
      <c r="E483">
        <f t="shared" si="7"/>
        <v>2024</v>
      </c>
    </row>
    <row r="484" spans="1:5">
      <c r="A484" s="4">
        <v>45536</v>
      </c>
      <c r="B484" s="3">
        <v>30118.3</v>
      </c>
      <c r="C484" t="s">
        <v>5</v>
      </c>
      <c r="D484" t="s">
        <v>19</v>
      </c>
      <c r="E484">
        <f t="shared" si="7"/>
        <v>2024</v>
      </c>
    </row>
    <row r="485" spans="1:5">
      <c r="A485" s="4">
        <v>45536</v>
      </c>
      <c r="B485" s="3">
        <v>108052.6</v>
      </c>
      <c r="C485" t="s">
        <v>5</v>
      </c>
      <c r="D485" t="s">
        <v>20</v>
      </c>
      <c r="E485">
        <f t="shared" si="7"/>
        <v>2024</v>
      </c>
    </row>
    <row r="486" spans="1:5">
      <c r="A486" s="4">
        <v>45536</v>
      </c>
      <c r="B486" s="3">
        <v>86987.6</v>
      </c>
      <c r="C486" t="s">
        <v>6</v>
      </c>
      <c r="D486" t="s">
        <v>19</v>
      </c>
      <c r="E486">
        <f t="shared" si="7"/>
        <v>2024</v>
      </c>
    </row>
    <row r="487" spans="1:5">
      <c r="A487" s="4">
        <v>45536</v>
      </c>
      <c r="B487" s="3">
        <v>1028419.6</v>
      </c>
      <c r="C487" t="s">
        <v>6</v>
      </c>
      <c r="D487" t="s">
        <v>20</v>
      </c>
      <c r="E487">
        <f t="shared" si="7"/>
        <v>2024</v>
      </c>
    </row>
    <row r="488" spans="1:5">
      <c r="A488" s="4">
        <v>45536</v>
      </c>
      <c r="B488" s="3">
        <v>188719.7</v>
      </c>
      <c r="C488" t="s">
        <v>7</v>
      </c>
      <c r="D488" t="s">
        <v>19</v>
      </c>
      <c r="E488">
        <f t="shared" si="7"/>
        <v>2024</v>
      </c>
    </row>
    <row r="489" spans="1:5">
      <c r="A489" s="4">
        <v>45536</v>
      </c>
      <c r="B489" s="3">
        <v>2060761.6</v>
      </c>
      <c r="C489" t="s">
        <v>7</v>
      </c>
      <c r="D489" t="s">
        <v>20</v>
      </c>
      <c r="E489">
        <f t="shared" si="7"/>
        <v>2024</v>
      </c>
    </row>
    <row r="490" spans="1:5">
      <c r="A490" s="4">
        <v>45536</v>
      </c>
      <c r="B490" s="3">
        <v>4560.3999999999996</v>
      </c>
      <c r="C490" t="s">
        <v>8</v>
      </c>
      <c r="D490" t="s">
        <v>19</v>
      </c>
      <c r="E490">
        <f t="shared" si="7"/>
        <v>2024</v>
      </c>
    </row>
    <row r="491" spans="1:5">
      <c r="A491" s="4">
        <v>45536</v>
      </c>
      <c r="B491" s="3">
        <v>80923.8</v>
      </c>
      <c r="C491" t="s">
        <v>8</v>
      </c>
      <c r="D491" t="s">
        <v>20</v>
      </c>
      <c r="E491">
        <f t="shared" si="7"/>
        <v>2024</v>
      </c>
    </row>
    <row r="492" spans="1:5">
      <c r="A492" s="4">
        <v>45536</v>
      </c>
      <c r="B492" s="3">
        <v>189625.5</v>
      </c>
      <c r="C492" t="s">
        <v>9</v>
      </c>
      <c r="D492" t="s">
        <v>19</v>
      </c>
      <c r="E492">
        <f t="shared" si="7"/>
        <v>2024</v>
      </c>
    </row>
    <row r="493" spans="1:5">
      <c r="A493" s="4">
        <v>45536</v>
      </c>
      <c r="B493" s="3">
        <v>2320970.2000000002</v>
      </c>
      <c r="C493" t="s">
        <v>9</v>
      </c>
      <c r="D493" t="s">
        <v>20</v>
      </c>
      <c r="E493">
        <f t="shared" si="7"/>
        <v>2024</v>
      </c>
    </row>
    <row r="494" spans="1:5">
      <c r="A494" s="4">
        <v>45566</v>
      </c>
      <c r="B494" s="3">
        <v>986.2</v>
      </c>
      <c r="C494" t="s">
        <v>2</v>
      </c>
      <c r="D494" t="s">
        <v>19</v>
      </c>
      <c r="E494">
        <f t="shared" si="7"/>
        <v>2024</v>
      </c>
    </row>
    <row r="495" spans="1:5">
      <c r="A495" s="4">
        <v>45566</v>
      </c>
      <c r="B495" s="3">
        <v>32.6</v>
      </c>
      <c r="C495" t="s">
        <v>2</v>
      </c>
      <c r="D495" t="s">
        <v>20</v>
      </c>
      <c r="E495">
        <f t="shared" si="7"/>
        <v>2024</v>
      </c>
    </row>
    <row r="496" spans="1:5">
      <c r="A496" s="4">
        <v>45566</v>
      </c>
      <c r="B496" s="3">
        <v>15734.5</v>
      </c>
      <c r="C496" t="s">
        <v>3</v>
      </c>
      <c r="D496" t="s">
        <v>19</v>
      </c>
      <c r="E496">
        <f t="shared" si="7"/>
        <v>2024</v>
      </c>
    </row>
    <row r="497" spans="1:5">
      <c r="A497" s="4">
        <v>45566</v>
      </c>
      <c r="B497" s="3">
        <v>19199.3</v>
      </c>
      <c r="C497" t="s">
        <v>3</v>
      </c>
      <c r="D497" t="s">
        <v>20</v>
      </c>
      <c r="E497">
        <f t="shared" si="7"/>
        <v>2024</v>
      </c>
    </row>
    <row r="498" spans="1:5">
      <c r="A498" s="4">
        <v>45566</v>
      </c>
      <c r="B498" s="3">
        <v>1.4</v>
      </c>
      <c r="C498" t="s">
        <v>4</v>
      </c>
      <c r="D498" t="s">
        <v>19</v>
      </c>
      <c r="E498">
        <f t="shared" si="7"/>
        <v>2024</v>
      </c>
    </row>
    <row r="499" spans="1:5">
      <c r="A499" s="4">
        <v>45566</v>
      </c>
      <c r="B499" s="3">
        <v>0</v>
      </c>
      <c r="C499" t="s">
        <v>4</v>
      </c>
      <c r="D499" t="s">
        <v>20</v>
      </c>
      <c r="E499">
        <f t="shared" si="7"/>
        <v>2024</v>
      </c>
    </row>
    <row r="500" spans="1:5">
      <c r="A500" s="4">
        <v>45566</v>
      </c>
      <c r="B500" s="3">
        <v>26367.8</v>
      </c>
      <c r="C500" t="s">
        <v>5</v>
      </c>
      <c r="D500" t="s">
        <v>19</v>
      </c>
      <c r="E500">
        <f t="shared" si="7"/>
        <v>2024</v>
      </c>
    </row>
    <row r="501" spans="1:5">
      <c r="A501" s="4">
        <v>45566</v>
      </c>
      <c r="B501" s="3">
        <v>99475.4</v>
      </c>
      <c r="C501" t="s">
        <v>5</v>
      </c>
      <c r="D501" t="s">
        <v>20</v>
      </c>
      <c r="E501">
        <f t="shared" si="7"/>
        <v>2024</v>
      </c>
    </row>
    <row r="502" spans="1:5">
      <c r="A502" s="4">
        <v>45566</v>
      </c>
      <c r="B502" s="3">
        <v>74988.2</v>
      </c>
      <c r="C502" t="s">
        <v>6</v>
      </c>
      <c r="D502" t="s">
        <v>19</v>
      </c>
      <c r="E502">
        <f t="shared" si="7"/>
        <v>2024</v>
      </c>
    </row>
    <row r="503" spans="1:5">
      <c r="A503" s="4">
        <v>45566</v>
      </c>
      <c r="B503" s="3">
        <v>1105216.5</v>
      </c>
      <c r="C503" t="s">
        <v>6</v>
      </c>
      <c r="D503" t="s">
        <v>20</v>
      </c>
      <c r="E503">
        <f t="shared" si="7"/>
        <v>2024</v>
      </c>
    </row>
    <row r="504" spans="1:5">
      <c r="A504" s="4">
        <v>45566</v>
      </c>
      <c r="B504" s="3">
        <v>174542.6</v>
      </c>
      <c r="C504" t="s">
        <v>7</v>
      </c>
      <c r="D504" t="s">
        <v>19</v>
      </c>
      <c r="E504">
        <f t="shared" si="7"/>
        <v>2024</v>
      </c>
    </row>
    <row r="505" spans="1:5">
      <c r="A505" s="4">
        <v>45566</v>
      </c>
      <c r="B505" s="3">
        <v>2128536.2999999998</v>
      </c>
      <c r="C505" t="s">
        <v>7</v>
      </c>
      <c r="D505" t="s">
        <v>20</v>
      </c>
      <c r="E505">
        <f t="shared" si="7"/>
        <v>2024</v>
      </c>
    </row>
    <row r="506" spans="1:5">
      <c r="A506" s="4">
        <v>45566</v>
      </c>
      <c r="B506" s="3">
        <v>3953.2</v>
      </c>
      <c r="C506" t="s">
        <v>8</v>
      </c>
      <c r="D506" t="s">
        <v>19</v>
      </c>
      <c r="E506">
        <f t="shared" si="7"/>
        <v>2024</v>
      </c>
    </row>
    <row r="507" spans="1:5">
      <c r="A507" s="4">
        <v>45566</v>
      </c>
      <c r="B507" s="3">
        <v>85453.5</v>
      </c>
      <c r="C507" t="s">
        <v>8</v>
      </c>
      <c r="D507" t="s">
        <v>20</v>
      </c>
      <c r="E507">
        <f t="shared" si="7"/>
        <v>2024</v>
      </c>
    </row>
    <row r="508" spans="1:5">
      <c r="A508" s="4">
        <v>45566</v>
      </c>
      <c r="B508" s="3">
        <v>210423.9</v>
      </c>
      <c r="C508" t="s">
        <v>9</v>
      </c>
      <c r="D508" t="s">
        <v>19</v>
      </c>
      <c r="E508">
        <f t="shared" si="7"/>
        <v>2024</v>
      </c>
    </row>
    <row r="509" spans="1:5">
      <c r="A509" s="4">
        <v>45566</v>
      </c>
      <c r="B509" s="3">
        <v>2279071.1</v>
      </c>
      <c r="C509" t="s">
        <v>9</v>
      </c>
      <c r="D509" t="s">
        <v>20</v>
      </c>
      <c r="E509">
        <f t="shared" si="7"/>
        <v>2024</v>
      </c>
    </row>
    <row r="510" spans="1:5">
      <c r="A510" s="4">
        <v>45597</v>
      </c>
      <c r="B510" s="3">
        <v>1187.4000000000001</v>
      </c>
      <c r="C510" t="s">
        <v>2</v>
      </c>
      <c r="D510" t="s">
        <v>19</v>
      </c>
      <c r="E510">
        <f t="shared" si="7"/>
        <v>2024</v>
      </c>
    </row>
    <row r="511" spans="1:5">
      <c r="A511" s="4">
        <v>45597</v>
      </c>
      <c r="B511" s="3">
        <v>36.299999999999997</v>
      </c>
      <c r="C511" t="s">
        <v>2</v>
      </c>
      <c r="D511" t="s">
        <v>20</v>
      </c>
      <c r="E511">
        <f t="shared" si="7"/>
        <v>2024</v>
      </c>
    </row>
    <row r="512" spans="1:5">
      <c r="A512" s="4">
        <v>45597</v>
      </c>
      <c r="B512" s="3">
        <v>3398.5</v>
      </c>
      <c r="C512" t="s">
        <v>3</v>
      </c>
      <c r="D512" t="s">
        <v>19</v>
      </c>
      <c r="E512">
        <f t="shared" si="7"/>
        <v>2024</v>
      </c>
    </row>
    <row r="513" spans="1:5">
      <c r="A513" s="4">
        <v>45597</v>
      </c>
      <c r="B513" s="3">
        <v>20625.599999999999</v>
      </c>
      <c r="C513" t="s">
        <v>3</v>
      </c>
      <c r="D513" t="s">
        <v>20</v>
      </c>
      <c r="E513">
        <f t="shared" si="7"/>
        <v>2024</v>
      </c>
    </row>
    <row r="514" spans="1:5">
      <c r="A514" s="4">
        <v>45597</v>
      </c>
      <c r="B514" s="3">
        <v>0</v>
      </c>
      <c r="C514" t="s">
        <v>4</v>
      </c>
      <c r="D514" t="s">
        <v>19</v>
      </c>
      <c r="E514">
        <f t="shared" si="7"/>
        <v>2024</v>
      </c>
    </row>
    <row r="515" spans="1:5">
      <c r="A515" s="4">
        <v>45597</v>
      </c>
      <c r="B515" s="3">
        <v>0</v>
      </c>
      <c r="C515" t="s">
        <v>4</v>
      </c>
      <c r="D515" t="s">
        <v>20</v>
      </c>
      <c r="E515">
        <f t="shared" ref="E515:E525" si="8">YEAR(A515)</f>
        <v>2024</v>
      </c>
    </row>
    <row r="516" spans="1:5">
      <c r="A516" s="4">
        <v>45597</v>
      </c>
      <c r="B516" s="3">
        <v>14416.2</v>
      </c>
      <c r="C516" t="s">
        <v>5</v>
      </c>
      <c r="D516" t="s">
        <v>19</v>
      </c>
      <c r="E516">
        <f t="shared" si="8"/>
        <v>2024</v>
      </c>
    </row>
    <row r="517" spans="1:5">
      <c r="A517" s="4">
        <v>45597</v>
      </c>
      <c r="B517" s="3">
        <v>96039.8</v>
      </c>
      <c r="C517" t="s">
        <v>5</v>
      </c>
      <c r="D517" t="s">
        <v>20</v>
      </c>
      <c r="E517">
        <f t="shared" si="8"/>
        <v>2024</v>
      </c>
    </row>
    <row r="518" spans="1:5">
      <c r="A518" s="4">
        <v>45597</v>
      </c>
      <c r="B518" s="3">
        <v>47606.3</v>
      </c>
      <c r="C518" t="s">
        <v>6</v>
      </c>
      <c r="D518" t="s">
        <v>19</v>
      </c>
      <c r="E518">
        <f t="shared" si="8"/>
        <v>2024</v>
      </c>
    </row>
    <row r="519" spans="1:5">
      <c r="A519" s="4">
        <v>45597</v>
      </c>
      <c r="B519" s="3">
        <v>1100635.8999999999</v>
      </c>
      <c r="C519" t="s">
        <v>6</v>
      </c>
      <c r="D519" t="s">
        <v>20</v>
      </c>
      <c r="E519">
        <f t="shared" si="8"/>
        <v>2024</v>
      </c>
    </row>
    <row r="520" spans="1:5">
      <c r="A520" s="4">
        <v>45597</v>
      </c>
      <c r="B520" s="3">
        <v>124443.9</v>
      </c>
      <c r="C520" t="s">
        <v>7</v>
      </c>
      <c r="D520" t="s">
        <v>19</v>
      </c>
      <c r="E520">
        <f t="shared" si="8"/>
        <v>2024</v>
      </c>
    </row>
    <row r="521" spans="1:5">
      <c r="A521" s="4">
        <v>45597</v>
      </c>
      <c r="B521" s="3">
        <v>2048835.4</v>
      </c>
      <c r="C521" t="s">
        <v>7</v>
      </c>
      <c r="D521" t="s">
        <v>20</v>
      </c>
      <c r="E521">
        <f t="shared" si="8"/>
        <v>2024</v>
      </c>
    </row>
    <row r="522" spans="1:5">
      <c r="A522" s="4">
        <v>45597</v>
      </c>
      <c r="B522" s="3">
        <v>3333.3</v>
      </c>
      <c r="C522" t="s">
        <v>8</v>
      </c>
      <c r="D522" t="s">
        <v>19</v>
      </c>
      <c r="E522">
        <f t="shared" si="8"/>
        <v>2024</v>
      </c>
    </row>
    <row r="523" spans="1:5">
      <c r="A523" s="4">
        <v>45597</v>
      </c>
      <c r="B523" s="3">
        <v>83406.899999999994</v>
      </c>
      <c r="C523" t="s">
        <v>8</v>
      </c>
      <c r="D523" t="s">
        <v>20</v>
      </c>
      <c r="E523">
        <f t="shared" si="8"/>
        <v>2024</v>
      </c>
    </row>
    <row r="524" spans="1:5">
      <c r="A524" s="4">
        <v>45597</v>
      </c>
      <c r="B524" s="3">
        <v>81142.600000000006</v>
      </c>
      <c r="C524" t="s">
        <v>9</v>
      </c>
      <c r="D524" t="s">
        <v>19</v>
      </c>
      <c r="E524">
        <f t="shared" si="8"/>
        <v>2024</v>
      </c>
    </row>
    <row r="525" spans="1:5">
      <c r="A525" s="4">
        <v>45597</v>
      </c>
      <c r="B525" s="3">
        <v>2256005</v>
      </c>
      <c r="C525" t="s">
        <v>9</v>
      </c>
      <c r="D525" t="s">
        <v>20</v>
      </c>
      <c r="E525">
        <f t="shared" si="8"/>
        <v>2024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6A9F2B-0525-460A-A961-4E0A3F4BD7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EVOLUÇÃO MENSAL</vt:lpstr>
      <vt:lpstr>EVOLUÇÃO ANUAL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leticiafelixbt@outlook.com</dc:creator>
  <cp:lastModifiedBy>leticiafelixbt@outlook.com</cp:lastModifiedBy>
  <dcterms:created xsi:type="dcterms:W3CDTF">2026-07-08T17:12:18Z</dcterms:created>
  <dcterms:modified xsi:type="dcterms:W3CDTF">2026-07-08T19:05:30Z</dcterms:modified>
</cp:coreProperties>
</file>